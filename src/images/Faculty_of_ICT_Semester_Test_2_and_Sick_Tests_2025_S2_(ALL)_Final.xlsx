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tut4lifeac-my.sharepoint.com/personal/kambalevw_tut_ac_za/Documents/Documents/ICT FACULTY 2025/SEMESTER TESTS S2-2025/"/>
    </mc:Choice>
  </mc:AlternateContent>
  <xr:revisionPtr revIDLastSave="79" documentId="8_{5CEC8EE5-0C67-406E-9384-CF286D09A911}" xr6:coauthVersionLast="47" xr6:coauthVersionMax="47" xr10:uidLastSave="{9EC32253-94D1-477F-BF46-E7A48AD75222}"/>
  <bookViews>
    <workbookView xWindow="-28920" yWindow="-120" windowWidth="29040" windowHeight="15720" xr2:uid="{492A3C4A-86E2-4C3B-927B-E9C8B47BB27A}"/>
  </bookViews>
  <sheets>
    <sheet name="Sem Test 2 S2 2025 (Diplomas)" sheetId="1" r:id="rId1"/>
    <sheet name="Sick Tests S2 2025 (Diplomas)" sheetId="3" r:id="rId2"/>
    <sheet name="Sem Test 2 S2 2025 Sat Classes " sheetId="2" r:id="rId3"/>
    <sheet name="Sick Tests S2 2025 Sat Classe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3" i="1" l="1"/>
  <c r="H200" i="1"/>
  <c r="F104" i="4"/>
  <c r="F91" i="4"/>
  <c r="F71" i="4"/>
  <c r="F55" i="4"/>
  <c r="F36" i="4"/>
  <c r="F20" i="4"/>
  <c r="F131" i="3"/>
  <c r="F71" i="3"/>
  <c r="F98" i="3"/>
  <c r="F121" i="3"/>
  <c r="F109" i="3"/>
  <c r="F86" i="3"/>
  <c r="F67" i="3"/>
  <c r="H29" i="3"/>
  <c r="F26" i="3"/>
  <c r="H13" i="3" l="1"/>
  <c r="I6" i="3"/>
  <c r="H167" i="3"/>
  <c r="I157" i="3"/>
  <c r="H143" i="3"/>
  <c r="I135" i="3"/>
  <c r="H124" i="3"/>
  <c r="I117" i="3"/>
  <c r="H102" i="3"/>
  <c r="I95" i="3"/>
  <c r="H83" i="3"/>
  <c r="I75" i="3"/>
  <c r="H63" i="3"/>
  <c r="I56" i="3"/>
  <c r="H46" i="3"/>
  <c r="I40" i="3"/>
  <c r="I22" i="3"/>
  <c r="H29" i="1"/>
  <c r="F69" i="1"/>
  <c r="I65" i="1" s="1"/>
  <c r="F26" i="1"/>
  <c r="H23" i="1" s="1"/>
  <c r="F232" i="1"/>
  <c r="H229" i="1" s="1"/>
  <c r="H193" i="1"/>
  <c r="H186" i="1"/>
  <c r="F165" i="1"/>
  <c r="H79" i="1"/>
  <c r="H56" i="1"/>
  <c r="I8" i="1"/>
  <c r="H168" i="1" l="1"/>
  <c r="H222" i="1"/>
  <c r="I72" i="1"/>
  <c r="F122" i="1"/>
  <c r="I119" i="1" s="1"/>
  <c r="H216" i="1"/>
  <c r="F44" i="1"/>
  <c r="H39" i="1" s="1"/>
  <c r="F103" i="2"/>
  <c r="F90" i="2"/>
  <c r="F70" i="2"/>
  <c r="F55" i="2"/>
  <c r="F36" i="2"/>
  <c r="F20" i="2"/>
  <c r="I155" i="1"/>
  <c r="H133" i="1"/>
  <c r="I17" i="1"/>
  <c r="F256" i="1"/>
  <c r="F255" i="1"/>
  <c r="F254" i="1"/>
  <c r="F250" i="1"/>
  <c r="F212" i="1"/>
  <c r="H161" i="1"/>
  <c r="F112" i="1"/>
  <c r="I109" i="1" s="1"/>
  <c r="I238" i="1"/>
  <c r="I179" i="1"/>
  <c r="H145" i="1"/>
  <c r="H126" i="1"/>
  <c r="H98" i="1"/>
  <c r="I91" i="1"/>
  <c r="I49" i="1"/>
  <c r="I209" i="1" l="1"/>
</calcChain>
</file>

<file path=xl/sharedStrings.xml><?xml version="1.0" encoding="utf-8"?>
<sst xmlns="http://schemas.openxmlformats.org/spreadsheetml/2006/main" count="1948" uniqueCount="444">
  <si>
    <t>Practical - Normal Lab</t>
  </si>
  <si>
    <r>
      <t xml:space="preserve">ONLY PRACTICAL SESSION: </t>
    </r>
    <r>
      <rPr>
        <b/>
        <sz val="16"/>
        <color indexed="10"/>
        <rFont val="Arial"/>
        <family val="2"/>
      </rPr>
      <t>08:3</t>
    </r>
    <r>
      <rPr>
        <b/>
        <sz val="16"/>
        <color indexed="10"/>
        <rFont val="Arial"/>
        <family val="2"/>
      </rPr>
      <t>0 - 11:30 (Prac)</t>
    </r>
  </si>
  <si>
    <t>SUBJECT CODE</t>
  </si>
  <si>
    <t>COURSE</t>
  </si>
  <si>
    <t>T/P</t>
  </si>
  <si>
    <t>DUR</t>
  </si>
  <si>
    <t># STUD</t>
  </si>
  <si>
    <t>SLOT</t>
  </si>
  <si>
    <t>LECTURER(s)</t>
  </si>
  <si>
    <t>VENUES</t>
  </si>
  <si>
    <t>COMMENTS</t>
  </si>
  <si>
    <t>SOSHANGUVE</t>
  </si>
  <si>
    <t>DPYEF0</t>
  </si>
  <si>
    <t>B</t>
  </si>
  <si>
    <t>Theory</t>
  </si>
  <si>
    <t>T</t>
  </si>
  <si>
    <t>F</t>
  </si>
  <si>
    <t>MT2116D</t>
  </si>
  <si>
    <t>DPYE20</t>
  </si>
  <si>
    <t>TJ Mogaladi</t>
  </si>
  <si>
    <t>MT1F05D</t>
  </si>
  <si>
    <t>S Khumalo</t>
  </si>
  <si>
    <t>MT2F06D</t>
  </si>
  <si>
    <t xml:space="preserve">T Tong </t>
  </si>
  <si>
    <t>CFB115D</t>
  </si>
  <si>
    <t>DPMC20/DPRS20</t>
  </si>
  <si>
    <t>SEF216D</t>
  </si>
  <si>
    <t>DPRS20/DPRSF0</t>
  </si>
  <si>
    <t>TAN216D</t>
  </si>
  <si>
    <t>DPMC20/DPMCF0</t>
  </si>
  <si>
    <t>P</t>
  </si>
  <si>
    <t>BCM115D</t>
  </si>
  <si>
    <t>DPIF20</t>
  </si>
  <si>
    <t>BCMF15D</t>
  </si>
  <si>
    <t>DPIFF0</t>
  </si>
  <si>
    <t>CN2216D</t>
  </si>
  <si>
    <t>DPIT20/DPITF0</t>
  </si>
  <si>
    <t>NWS216D / CN2115D</t>
  </si>
  <si>
    <t>DPYE20/DPYEF0/DPIT20</t>
  </si>
  <si>
    <t>CN2F15D</t>
  </si>
  <si>
    <t>DPITF0</t>
  </si>
  <si>
    <t xml:space="preserve">PG2F06D </t>
  </si>
  <si>
    <t>PG2116D</t>
  </si>
  <si>
    <t>PG1F05D</t>
  </si>
  <si>
    <t>ITP216D</t>
  </si>
  <si>
    <t>DPIF20/DPIFF0</t>
  </si>
  <si>
    <t>OPS216D</t>
  </si>
  <si>
    <t>DPYE20/DPYEF0</t>
  </si>
  <si>
    <t>16P105X/16E105X - Year</t>
  </si>
  <si>
    <t>DPIF20/DPIT20/DPRS20/DPMC20</t>
  </si>
  <si>
    <t>MUA216D</t>
  </si>
  <si>
    <t>NWS115D</t>
  </si>
  <si>
    <t>NWSF05D</t>
  </si>
  <si>
    <t>EIPF05D</t>
  </si>
  <si>
    <t>ORS216D</t>
  </si>
  <si>
    <t>SYB216D</t>
  </si>
  <si>
    <t>PS2216D</t>
  </si>
  <si>
    <t xml:space="preserve">MRO216D </t>
  </si>
  <si>
    <t>DPRSF0/DPMCF0/DPRS20/DPIF20/
DPMC20/DPITF0/DPIT20/DPIFF0</t>
  </si>
  <si>
    <t>PCO115D</t>
  </si>
  <si>
    <t>PCOF05D</t>
  </si>
  <si>
    <t>DP2216D</t>
  </si>
  <si>
    <t>CMSF05D</t>
  </si>
  <si>
    <t>BB02 lab</t>
  </si>
  <si>
    <t>AA01 lab</t>
  </si>
  <si>
    <t>AA02 lab</t>
  </si>
  <si>
    <r>
      <t xml:space="preserve">ONLY THEORY SESSION: </t>
    </r>
    <r>
      <rPr>
        <b/>
        <sz val="16"/>
        <color indexed="17"/>
        <rFont val="Arial"/>
        <family val="2"/>
      </rPr>
      <t>09:00 - 11:00</t>
    </r>
  </si>
  <si>
    <t>DCT115D / DCTF15D / DSM116D</t>
  </si>
  <si>
    <t>DPITF0/DPRS20/DPMC20/DPIT20/
DPMCF0/DPRSF0</t>
  </si>
  <si>
    <t>BFS115D</t>
  </si>
  <si>
    <t>BFSF15D</t>
  </si>
  <si>
    <t>EL2116D</t>
  </si>
  <si>
    <t>LOD216D</t>
  </si>
  <si>
    <t>EL1F05D</t>
  </si>
  <si>
    <t>EL2F06D</t>
  </si>
  <si>
    <t>ISC216D</t>
  </si>
  <si>
    <t>GMP216D</t>
  </si>
  <si>
    <t>10-G10 lab</t>
  </si>
  <si>
    <t>BUB216D</t>
  </si>
  <si>
    <t>VMA216D</t>
  </si>
  <si>
    <t>PLC216D</t>
  </si>
  <si>
    <t>AOP216D / AOR216D</t>
  </si>
  <si>
    <t>DPRS20/DPRSF0/DPMC20/DPMCF0/
DPIT20/DPITF0</t>
  </si>
  <si>
    <t>WEB115D</t>
  </si>
  <si>
    <t>DPRS20/DPMC20</t>
  </si>
  <si>
    <t>CAT116D</t>
  </si>
  <si>
    <t>DPIT20</t>
  </si>
  <si>
    <t>CGB115D</t>
  </si>
  <si>
    <t>DBB216D</t>
  </si>
  <si>
    <t>DE2F06D</t>
  </si>
  <si>
    <t>DE2116D</t>
  </si>
  <si>
    <t>DE1F05D</t>
  </si>
  <si>
    <t>ARI216D</t>
  </si>
  <si>
    <t>EXTENDED FIRST YEAR SUBJECTS (F&amp;F UNIT)</t>
  </si>
  <si>
    <t>PPAF05D / TROF05D</t>
  </si>
  <si>
    <t>DPIFF0/DPMCF0/DPRSF0/DPITF0</t>
  </si>
  <si>
    <t>Will take part as Sem Test ?</t>
  </si>
  <si>
    <t>FYFU</t>
  </si>
  <si>
    <t>CFAF05D</t>
  </si>
  <si>
    <t>DPMCF0/DPRSF0</t>
  </si>
  <si>
    <t>CGAF05D</t>
  </si>
  <si>
    <t>Coordinator: M Dibetle</t>
  </si>
  <si>
    <t>CN1F05D</t>
  </si>
  <si>
    <t>COHF05D / CHOF05D</t>
  </si>
  <si>
    <t>Coordinator: K Mokgomole</t>
  </si>
  <si>
    <t>PROJECT SUBJECTS:</t>
  </si>
  <si>
    <t>PJT101B / (PCO115D - sem 2)</t>
  </si>
  <si>
    <t>CSE</t>
  </si>
  <si>
    <t>G</t>
  </si>
  <si>
    <t>S Adebusola</t>
  </si>
  <si>
    <t>Project - Will not Take Part</t>
  </si>
  <si>
    <t>ISD316D - sem 1</t>
  </si>
  <si>
    <t>C</t>
  </si>
  <si>
    <t>D Malebana</t>
  </si>
  <si>
    <t>PD1315D - sem 1</t>
  </si>
  <si>
    <t>V Masaba, D Matshiba</t>
  </si>
  <si>
    <t>SWP316D/DSO34BT - sem 1</t>
  </si>
  <si>
    <t>DPRS20/DPRSF0/SDT</t>
  </si>
  <si>
    <t>E</t>
  </si>
  <si>
    <t>D Chuene</t>
  </si>
  <si>
    <t>Project - To take part????</t>
  </si>
  <si>
    <t>Coordinator: FE Ntuli</t>
  </si>
  <si>
    <t>Coordinator: Q Magaseng</t>
  </si>
  <si>
    <t>Coordinator: C Coetzee</t>
  </si>
  <si>
    <t xml:space="preserve">Coordinator: WV Kambale </t>
  </si>
  <si>
    <t>CAPF05X / COEF05X</t>
  </si>
  <si>
    <t>Coordinator: M Popela</t>
  </si>
  <si>
    <r>
      <t xml:space="preserve">FIRST THEORY SESSION: </t>
    </r>
    <r>
      <rPr>
        <b/>
        <sz val="16"/>
        <color rgb="FF0070C0"/>
        <rFont val="Arial"/>
        <family val="2"/>
      </rPr>
      <t>09:00 - 11:00 (Theory)</t>
    </r>
  </si>
  <si>
    <r>
      <t xml:space="preserve">FIRST THEORY SESSION: </t>
    </r>
    <r>
      <rPr>
        <b/>
        <sz val="16"/>
        <color indexed="30"/>
        <rFont val="Arial"/>
        <family val="2"/>
      </rPr>
      <t>09:00 - 11:00 (Theory)</t>
    </r>
  </si>
  <si>
    <t>T Netshisumbewa</t>
  </si>
  <si>
    <t>10-140 lab (110)</t>
  </si>
  <si>
    <t>T Malebane, J Jordaan</t>
  </si>
  <si>
    <t>10-170 lab (110)</t>
  </si>
  <si>
    <t>K Mogapi, L Sekhaolelo, T Raphiri</t>
  </si>
  <si>
    <t>10-L41 lab (110), 10-L44 lab (110), 10-240 lab (55)</t>
  </si>
  <si>
    <t>10-138 lab (110), 10-120 lab (110)</t>
  </si>
  <si>
    <t>V Msimango</t>
  </si>
  <si>
    <t xml:space="preserve">Coordinator: V Booi </t>
  </si>
  <si>
    <t>T Nyawose, S Adebusola</t>
  </si>
  <si>
    <t>S Adebusola, S T Leholo</t>
  </si>
  <si>
    <t>I Machele</t>
  </si>
  <si>
    <t>TR Phihlela, P Msimanga, N Zuma, J Dehinbo</t>
  </si>
  <si>
    <t>A Khoza</t>
  </si>
  <si>
    <t>10-120 lab (110), 10-140 lab (110), 10-138 lab (110), 
10-170 lab (110), 10-L41 lab (110), 10-L44 lab (110),
10-232 lab (55), 10-233 lab (55), 10-240 lab (55),
10-246 lab (55), 10-248 lab (55)</t>
  </si>
  <si>
    <t>L  Sekhaolelo, F Hattingh, T Netshisumbewa,
Z Msiza, W Birch</t>
  </si>
  <si>
    <t>BT Mabunda, R Mokhari</t>
  </si>
  <si>
    <t>10-G20 lab (55), 10-G28 lab (55), 10-G29 lab (55)</t>
  </si>
  <si>
    <r>
      <t xml:space="preserve">FIRST PRACTICAL SESSION: </t>
    </r>
    <r>
      <rPr>
        <b/>
        <sz val="16"/>
        <color indexed="10"/>
        <rFont val="Arial"/>
        <family val="2"/>
      </rPr>
      <t>08:30 - 11:30 (Prac)</t>
    </r>
  </si>
  <si>
    <r>
      <t xml:space="preserve">SECOND PRACTICAL SESSION: </t>
    </r>
    <r>
      <rPr>
        <b/>
        <sz val="16"/>
        <color indexed="10"/>
        <rFont val="Arial"/>
        <family val="2"/>
      </rPr>
      <t>12:30 - 15:30 (Prac)</t>
    </r>
  </si>
  <si>
    <t>Coordinator: WV Kambale / K Tshehla</t>
  </si>
  <si>
    <r>
      <t xml:space="preserve">PPAF05D / TROF05D
</t>
    </r>
    <r>
      <rPr>
        <sz val="12"/>
        <color rgb="FFFF0000"/>
        <rFont val="Arial"/>
        <family val="2"/>
      </rPr>
      <t>(</t>
    </r>
    <r>
      <rPr>
        <b/>
        <sz val="12"/>
        <color rgb="FFFF0000"/>
        <rFont val="Arial"/>
        <family val="2"/>
      </rPr>
      <t>Session 1</t>
    </r>
    <r>
      <rPr>
        <sz val="12"/>
        <color rgb="FFFF0000"/>
        <rFont val="Arial"/>
        <family val="2"/>
      </rPr>
      <t>: All the campuses)</t>
    </r>
  </si>
  <si>
    <r>
      <t xml:space="preserve">PPAF05D / TROF05D
</t>
    </r>
    <r>
      <rPr>
        <sz val="12"/>
        <color rgb="FFFF0000"/>
        <rFont val="Arial"/>
        <family val="2"/>
      </rPr>
      <t>(</t>
    </r>
    <r>
      <rPr>
        <b/>
        <sz val="12"/>
        <color rgb="FFFF0000"/>
        <rFont val="Arial"/>
        <family val="2"/>
      </rPr>
      <t>Session 2</t>
    </r>
    <r>
      <rPr>
        <sz val="12"/>
        <color rgb="FFFF0000"/>
        <rFont val="Arial"/>
        <family val="2"/>
      </rPr>
      <t>: e'Malahleni campus only - if necessary!)</t>
    </r>
  </si>
  <si>
    <t>None</t>
  </si>
  <si>
    <r>
      <t xml:space="preserve">ONLY PRACTICAL SESSION: </t>
    </r>
    <r>
      <rPr>
        <b/>
        <sz val="16"/>
        <color indexed="10"/>
        <rFont val="Arial"/>
        <family val="2"/>
      </rPr>
      <t>13:00 - 16:00 (Prac)</t>
    </r>
  </si>
  <si>
    <t>K Stone</t>
  </si>
  <si>
    <t>10-170 lab</t>
  </si>
  <si>
    <r>
      <t xml:space="preserve">ONLY THEORY SESSION: </t>
    </r>
    <r>
      <rPr>
        <b/>
        <sz val="16"/>
        <color rgb="FF0070C0"/>
        <rFont val="Arial"/>
        <family val="2"/>
      </rPr>
      <t>09:00 - 11:00 (Theory)</t>
    </r>
  </si>
  <si>
    <t>RD Mabena</t>
  </si>
  <si>
    <t>Ntsoane, Magudulela, IA Abraham-Samgeorge</t>
  </si>
  <si>
    <t>C Kgoetiane</t>
  </si>
  <si>
    <t>SP Maswikaneng</t>
  </si>
  <si>
    <t>J Dehinbo, K Mogapi, TR Phihlela,
C Phiri, C Lepota, V Masuku, A Khoza</t>
  </si>
  <si>
    <t>IA Abraham-Samgeorge, CH Kgoetiane</t>
  </si>
  <si>
    <t>T Kolobe</t>
  </si>
  <si>
    <t>K Mokgomole, BN Mahlangu, MR Shibambu</t>
  </si>
  <si>
    <t>TE Mathonsi (HoD)</t>
  </si>
  <si>
    <t>T Muchenje</t>
  </si>
  <si>
    <t>T Leholo, M Chauke</t>
  </si>
  <si>
    <t>D Alake, K Stone</t>
  </si>
  <si>
    <t>L Brand</t>
  </si>
  <si>
    <t>S Papi</t>
  </si>
  <si>
    <t>C Mogoloa, SM Mahlangu</t>
  </si>
  <si>
    <t>AM Segooa, TS Adeyelure, Ntsoane</t>
  </si>
  <si>
    <t>DD Malebana</t>
  </si>
  <si>
    <t>Z Mahlobogwane, I Machele</t>
  </si>
  <si>
    <t>T C Tshipota</t>
  </si>
  <si>
    <t>Z Mahlobogwane, T Kolobe</t>
  </si>
  <si>
    <t>T Matshiba</t>
  </si>
  <si>
    <t>T Tshilongamulenzhe</t>
  </si>
  <si>
    <t>AM Segooa, R Mogase, Magudulela</t>
  </si>
  <si>
    <t>N Khoza</t>
  </si>
  <si>
    <t>Magudulela TS</t>
  </si>
  <si>
    <t>CH Kgoetiane, Magudulela , Ntsoane</t>
  </si>
  <si>
    <t>C Nawej</t>
  </si>
  <si>
    <t>Dr N Nahri, M Kekane</t>
  </si>
  <si>
    <t>ADVANCED DIPLOMA</t>
  </si>
  <si>
    <t>Test Time</t>
  </si>
  <si>
    <t>Course</t>
  </si>
  <si>
    <t>Subject</t>
  </si>
  <si>
    <t>Subject Name</t>
  </si>
  <si>
    <t>Name</t>
  </si>
  <si>
    <t>Num Studs</t>
  </si>
  <si>
    <t>Test Venue(s)</t>
  </si>
  <si>
    <t>Comments</t>
  </si>
  <si>
    <t>Dept Computer Science:</t>
  </si>
  <si>
    <t>08:30 - 11:30</t>
  </si>
  <si>
    <t>ADRS20</t>
  </si>
  <si>
    <t>IDA117V</t>
  </si>
  <si>
    <t>Introduction to Data Science</t>
  </si>
  <si>
    <t>10-138 lab, 10-L44 lab</t>
  </si>
  <si>
    <t>ADMC20</t>
  </si>
  <si>
    <t>IMD117V</t>
  </si>
  <si>
    <t>Instructional Multimedia Design</t>
  </si>
  <si>
    <t>Dr. E Van Wyk</t>
  </si>
  <si>
    <t>14-G108 (120)</t>
  </si>
  <si>
    <t>Dept Computer Systems Engineering:</t>
  </si>
  <si>
    <t>ADYE20</t>
  </si>
  <si>
    <t>EER117V</t>
  </si>
  <si>
    <t xml:space="preserve">Engineering Ethics and Practices </t>
  </si>
  <si>
    <t>M Gwabavu</t>
  </si>
  <si>
    <t>14-1113 (170)</t>
  </si>
  <si>
    <t>CES117V</t>
  </si>
  <si>
    <t>Computer Emerging Techonologies</t>
  </si>
  <si>
    <t>K Rambau</t>
  </si>
  <si>
    <t>Dept Informatics:</t>
  </si>
  <si>
    <t>ADIF20</t>
  </si>
  <si>
    <t>IAR117V</t>
  </si>
  <si>
    <t>Information Systems Architecture</t>
  </si>
  <si>
    <t>Dr. Mamorobela</t>
  </si>
  <si>
    <t>14-1108 (223)</t>
  </si>
  <si>
    <t>ISR117V</t>
  </si>
  <si>
    <t>Information System Research</t>
  </si>
  <si>
    <t>Dr. A Segooa</t>
  </si>
  <si>
    <t>Dept Information Technology:</t>
  </si>
  <si>
    <t>ADIT21</t>
  </si>
  <si>
    <t>PNB117V</t>
  </si>
  <si>
    <t>Computer Networks IVB</t>
  </si>
  <si>
    <t>Ms PL Medupe</t>
  </si>
  <si>
    <t>14-G95 (170)</t>
  </si>
  <si>
    <t>Theory Total:</t>
  </si>
  <si>
    <t>POSTGRADUATE DIPLOMA</t>
  </si>
  <si>
    <t>Session</t>
  </si>
  <si>
    <t>PDRS21</t>
  </si>
  <si>
    <t>ACX118G</t>
  </si>
  <si>
    <t>Algorithms and Complexity</t>
  </si>
  <si>
    <t>10-G28 lab (55)</t>
  </si>
  <si>
    <t>PDMC21/PDRS21</t>
  </si>
  <si>
    <t>RMR118G/
RMC118G</t>
  </si>
  <si>
    <t>Research Methodologies</t>
  </si>
  <si>
    <t>PDYE21</t>
  </si>
  <si>
    <t>AIS118G</t>
  </si>
  <si>
    <t>Advanced Articial Intelligent</t>
  </si>
  <si>
    <t>PDIF21</t>
  </si>
  <si>
    <t>KWM118G</t>
  </si>
  <si>
    <t>Advanced Knowledge Management</t>
  </si>
  <si>
    <t>Dr. CH Kgoetiane</t>
  </si>
  <si>
    <t>ARP108G/
ARP118R</t>
  </si>
  <si>
    <t>Advanced Research Project</t>
  </si>
  <si>
    <t>Dr TJ Lavhengwa</t>
  </si>
  <si>
    <t>Project - Take Part?</t>
  </si>
  <si>
    <t>PDIT21</t>
  </si>
  <si>
    <t>CN1118G</t>
  </si>
  <si>
    <t>Computer Networks 501</t>
  </si>
  <si>
    <t>Khosa TN</t>
  </si>
  <si>
    <t>SDN118G</t>
  </si>
  <si>
    <t>Software Defined Networks 502</t>
  </si>
  <si>
    <t>11:30 - 14:30</t>
  </si>
  <si>
    <t>DSD117V</t>
  </si>
  <si>
    <t>Distributed Programming</t>
  </si>
  <si>
    <t>GPR117V</t>
  </si>
  <si>
    <t>Advanced Games Programming</t>
  </si>
  <si>
    <t>L Baloyi</t>
  </si>
  <si>
    <t>EGD107V/ EGD117R</t>
  </si>
  <si>
    <t>Engineering Project Design</t>
  </si>
  <si>
    <t>SRG117V</t>
  </si>
  <si>
    <t xml:space="preserve">Systems Resources Management </t>
  </si>
  <si>
    <t>CAO117V</t>
  </si>
  <si>
    <t>Computer Architecture and Organisation</t>
  </si>
  <si>
    <t>M Mhlanga</t>
  </si>
  <si>
    <t>ITP117V</t>
  </si>
  <si>
    <t>Information Technology Project Management</t>
  </si>
  <si>
    <t>Mr MB Phurusti</t>
  </si>
  <si>
    <t>SIS117V</t>
  </si>
  <si>
    <t>Strategic Information Systems</t>
  </si>
  <si>
    <t>Ms Ramapuputla</t>
  </si>
  <si>
    <t>PNA117V</t>
  </si>
  <si>
    <t>Computer Networks IVA</t>
  </si>
  <si>
    <t>Mr E Letsoalo</t>
  </si>
  <si>
    <t>PDMC21</t>
  </si>
  <si>
    <t>ARI118G</t>
  </si>
  <si>
    <t>Artificial Intelligence</t>
  </si>
  <si>
    <t xml:space="preserve">DSC118G </t>
  </si>
  <si>
    <t>Data Science and Big Data Analytics</t>
  </si>
  <si>
    <t>RRS108G / MRP108G / RRS118R / MRP118R</t>
  </si>
  <si>
    <t>Research Project</t>
  </si>
  <si>
    <t>CNE118G</t>
  </si>
  <si>
    <t>Advanced Computer Networks</t>
  </si>
  <si>
    <t>RIF118G</t>
  </si>
  <si>
    <t>Research Methodology</t>
  </si>
  <si>
    <t>Dr TS Adeyelure</t>
  </si>
  <si>
    <t xml:space="preserve">DFO118G </t>
  </si>
  <si>
    <t>Digital Forensics V</t>
  </si>
  <si>
    <t>14:30 - 17:30</t>
  </si>
  <si>
    <t>TCR117V</t>
  </si>
  <si>
    <t>Theoretical Computer Science</t>
  </si>
  <si>
    <t>MPD117V</t>
  </si>
  <si>
    <t>Multimedia Project Design</t>
  </si>
  <si>
    <t xml:space="preserve">H Retief </t>
  </si>
  <si>
    <t>ISJ107V / ISJ117R</t>
  </si>
  <si>
    <t>Integrated Software Projects</t>
  </si>
  <si>
    <t>MCP107V</t>
  </si>
  <si>
    <t>Multimedia Project</t>
  </si>
  <si>
    <t>EBD117V</t>
  </si>
  <si>
    <t xml:space="preserve">Embedded Systems Design </t>
  </si>
  <si>
    <t>S Lefophane</t>
  </si>
  <si>
    <t>IIS117V</t>
  </si>
  <si>
    <t>Intelligent Industrial Systems</t>
  </si>
  <si>
    <t>WNE117V</t>
  </si>
  <si>
    <t>Wireless Networks IV</t>
  </si>
  <si>
    <t>TN Khosa</t>
  </si>
  <si>
    <t>Research Project IV</t>
  </si>
  <si>
    <t>Dr T Muchenje
(and G Komba)</t>
  </si>
  <si>
    <t>PDRS21 / PDMC21</t>
  </si>
  <si>
    <t xml:space="preserve">FRD118G </t>
  </si>
  <si>
    <t>Formal Aspects of Computing</t>
  </si>
  <si>
    <t>Dr. W Vambe</t>
  </si>
  <si>
    <t>VEA118G</t>
  </si>
  <si>
    <t xml:space="preserve"> Virtual Environment Application</t>
  </si>
  <si>
    <t>IDD108G / IDD118R</t>
  </si>
  <si>
    <t>Iindustrial Research Project</t>
  </si>
  <si>
    <t>Dr M Olaifa</t>
  </si>
  <si>
    <t>CES118G</t>
  </si>
  <si>
    <t>Computer Emerging Technologies</t>
  </si>
  <si>
    <t xml:space="preserve">SPG118G </t>
  </si>
  <si>
    <t>Security Policy and Governance 501</t>
  </si>
  <si>
    <t>Dan Masethe/
Dr. TJ Ramabu</t>
  </si>
  <si>
    <t>Dr. RT Hans (HoD)</t>
  </si>
  <si>
    <t xml:space="preserve">Dr. D Chuene/
Dr. RT Hans </t>
  </si>
  <si>
    <t>Prof Du (HOD)</t>
  </si>
  <si>
    <t>Prof TE Mathonsi (HOD)</t>
  </si>
  <si>
    <t>Dr E Migabo /
Prof Du (HOD)</t>
  </si>
  <si>
    <t>Dan Masethe</t>
  </si>
  <si>
    <t>Dr AAK Buitendag /
Dr. R. Hans/
Dr. TJ Ramabu</t>
  </si>
  <si>
    <t>TE Mathonsi (HOD)</t>
  </si>
  <si>
    <t>Dr. TJ Ramabu / F Hattingh</t>
  </si>
  <si>
    <t>Dr. B Buitendag/ L Baloyi/
Dan Masethe/ Dr. TJ Ramabu"</t>
  </si>
  <si>
    <t>34</t>
  </si>
  <si>
    <t>RIT117V / RIT117R</t>
  </si>
  <si>
    <t>10-212 (80)</t>
  </si>
  <si>
    <t>10-232 lab, 10-170 lab</t>
  </si>
  <si>
    <t>CATF16D</t>
  </si>
  <si>
    <t>E Khoza</t>
  </si>
  <si>
    <r>
      <t>PPBF15D / PPB115D / PPGF15D / PPG115D
(</t>
    </r>
    <r>
      <rPr>
        <b/>
        <sz val="12"/>
        <color rgb="FFFF0000"/>
        <rFont val="Arial"/>
        <family val="2"/>
      </rPr>
      <t>Session 1</t>
    </r>
    <r>
      <rPr>
        <sz val="12"/>
        <color rgb="FFFF0000"/>
        <rFont val="Arial"/>
        <family val="2"/>
      </rPr>
      <t>: All the campuses</t>
    </r>
    <r>
      <rPr>
        <sz val="12"/>
        <rFont val="Arial"/>
        <family val="2"/>
      </rPr>
      <t>)</t>
    </r>
  </si>
  <si>
    <r>
      <t>PPBF15D / PPB115D / PPGF15D / PPG115D
(</t>
    </r>
    <r>
      <rPr>
        <b/>
        <sz val="12"/>
        <color rgb="FFFF0000"/>
        <rFont val="Arial"/>
        <family val="2"/>
      </rPr>
      <t>Session 2</t>
    </r>
    <r>
      <rPr>
        <sz val="12"/>
        <color rgb="FFFF0000"/>
        <rFont val="Arial"/>
        <family val="2"/>
      </rPr>
      <t>: eMalahleni campus only!</t>
    </r>
    <r>
      <rPr>
        <sz val="12"/>
        <rFont val="Arial"/>
        <family val="2"/>
      </rPr>
      <t>)</t>
    </r>
  </si>
  <si>
    <r>
      <t xml:space="preserve">SECOND PRACTICAL SESSION: </t>
    </r>
    <r>
      <rPr>
        <b/>
        <sz val="16"/>
        <color indexed="10"/>
        <rFont val="Arial"/>
        <family val="2"/>
      </rPr>
      <t>12:00 - 15:00 (Prac)</t>
    </r>
  </si>
  <si>
    <t>E Letsoalo, Z Mapundu</t>
  </si>
  <si>
    <t>10-G10 lab, 10-G06 lab</t>
  </si>
  <si>
    <r>
      <rPr>
        <strike/>
        <sz val="8"/>
        <rFont val="Arial"/>
        <family val="2"/>
      </rPr>
      <t>14-G108 (120)</t>
    </r>
    <r>
      <rPr>
        <sz val="8"/>
        <rFont val="Arial"/>
        <family val="2"/>
      </rPr>
      <t xml:space="preserve">
</t>
    </r>
    <r>
      <rPr>
        <b/>
        <sz val="8"/>
        <color rgb="FFFF0000"/>
        <rFont val="Arial"/>
        <family val="2"/>
      </rPr>
      <t>10-L44 lab</t>
    </r>
  </si>
  <si>
    <r>
      <t>1</t>
    </r>
    <r>
      <rPr>
        <strike/>
        <sz val="8"/>
        <rFont val="Arial"/>
        <family val="2"/>
      </rPr>
      <t>0-138 lab, 10-L44 lab</t>
    </r>
    <r>
      <rPr>
        <sz val="8"/>
        <rFont val="Arial"/>
        <family val="2"/>
      </rPr>
      <t xml:space="preserve">
</t>
    </r>
    <r>
      <rPr>
        <b/>
        <sz val="8"/>
        <color rgb="FFFF0000"/>
        <rFont val="Arial"/>
        <family val="2"/>
      </rPr>
      <t>10-138 lab, 10-140 lab</t>
    </r>
  </si>
  <si>
    <t>DAY 1: MON 6 OCT</t>
  </si>
  <si>
    <t>DAY 2: TUE 7 OCT</t>
  </si>
  <si>
    <t>DAY 3: WED 8 OCT</t>
  </si>
  <si>
    <t>DAY 4: THU 9 OCT</t>
  </si>
  <si>
    <t>DAY 5: FRI 10 OCT</t>
  </si>
  <si>
    <t>SAT 11 OCT - SEM TEST WEEK 2: ADV DIPLOMA AND PGRAD DIPLOMA SESSION 2 - SEE SECOND SHEET FOR DETAIL</t>
  </si>
  <si>
    <t>SAT 4 OCT - SEM TEST WEEK 2: ADV DIPLOMA AND PGRAD DIPLOMA SESSION 1 - SEE SECOND SHEET FOR DETAIL</t>
  </si>
  <si>
    <t>SPECIAL SESSION: SAT 11 OCT</t>
  </si>
  <si>
    <t>DAY 6: MON 13 OCT</t>
  </si>
  <si>
    <t>DAY 7: TUE 14 OCT</t>
  </si>
  <si>
    <t>DAY 8: WED 15 OCT</t>
  </si>
  <si>
    <t>SAT 18 OCT - SEM TEST WEEK 2: ADV DIPLOMA AND PGRAD DIPLOMA SESSION 3 - SEE SECOND SHEET FOR DETAIL</t>
  </si>
  <si>
    <t>10-L08 (90), 10-L14 (60)</t>
  </si>
  <si>
    <t>14-G95 (170), 10-152 (72)</t>
  </si>
  <si>
    <t>14-1108 (223), 14-1107 (110)</t>
  </si>
  <si>
    <t>14-1113 (170), 10-148 (78)</t>
  </si>
  <si>
    <t>14-1108 (223), 14-1107 (110), 10-149 (76)</t>
  </si>
  <si>
    <t>14-1108 (223), 14-1113 (170), 14-1107 (110),
14-G108 (120), 14-G95 (170)</t>
  </si>
  <si>
    <t>10-143 (51), 10-148 (78), 10-149 (76)
10-152 (72), 10-253/251 (71)</t>
  </si>
  <si>
    <t>10-L08 (90), 10-L14 (60), 10-L32 (60)</t>
  </si>
  <si>
    <r>
      <t xml:space="preserve">SECOND THEORY SESSION: </t>
    </r>
    <r>
      <rPr>
        <b/>
        <sz val="16"/>
        <color indexed="30"/>
        <rFont val="Arial"/>
        <family val="2"/>
      </rPr>
      <t>12:00 - 14:00 (Theory)</t>
    </r>
  </si>
  <si>
    <t>14-1108 (223), 14-1113 (170)</t>
  </si>
  <si>
    <t>14-G95 (170), 14-G108 (120)</t>
  </si>
  <si>
    <t>14-1108 (223), 14-1113 (170), 14-1107 (110)</t>
  </si>
  <si>
    <t>14-G108 (120), 10-148 (78)</t>
  </si>
  <si>
    <t>14-G95 (170), 10-149 (76)</t>
  </si>
  <si>
    <t>14-1113 (170), 10-152 (72)</t>
  </si>
  <si>
    <t>14-G108 (120), 14-G95 (170), 10-G67 (75)</t>
  </si>
  <si>
    <t>10-148 (78), 10-149 (76)
10-152 (72), 10-253/251 (71)</t>
  </si>
  <si>
    <t>14-1108 (223), 14-1113 (170), 14-1107 (110),</t>
  </si>
  <si>
    <t>14-1108 (223), 14-1113 (170), 14-1107 (110),
14-G108 (120)</t>
  </si>
  <si>
    <r>
      <t xml:space="preserve">THIRD THEORY SESSION: </t>
    </r>
    <r>
      <rPr>
        <b/>
        <sz val="16"/>
        <color indexed="30"/>
        <rFont val="Arial"/>
        <family val="2"/>
      </rPr>
      <t>14:00 - 16:00 (Theory)</t>
    </r>
  </si>
  <si>
    <r>
      <t xml:space="preserve">SECOND THEORY SESSION: </t>
    </r>
    <r>
      <rPr>
        <b/>
        <sz val="16"/>
        <color indexed="30"/>
        <rFont val="Arial"/>
        <family val="2"/>
      </rPr>
      <t>11:30 - 13:30 (Theory)</t>
    </r>
  </si>
  <si>
    <t>14-1113 (170), 14-G108 (120)</t>
  </si>
  <si>
    <r>
      <t xml:space="preserve">SECOND THEORY SESSION: </t>
    </r>
    <r>
      <rPr>
        <b/>
        <sz val="16"/>
        <color rgb="FF0070C0"/>
        <rFont val="Arial"/>
        <family val="2"/>
      </rPr>
      <t>12</t>
    </r>
    <r>
      <rPr>
        <b/>
        <sz val="16"/>
        <color theme="3" tint="0.499984740745262"/>
        <rFont val="Arial"/>
        <family val="2"/>
      </rPr>
      <t>:0</t>
    </r>
    <r>
      <rPr>
        <b/>
        <sz val="16"/>
        <color indexed="30"/>
        <rFont val="Arial"/>
        <family val="2"/>
      </rPr>
      <t>0 - 14:00 (Theory)</t>
    </r>
  </si>
  <si>
    <t>14-1108 (223), 14-1113 (170), 14-1107 (110),
14-G108 (120), 14-G95 (170), 10-G67 (75)
10-143 (51), 10-148 (78), 10-149 (76)
10-152 (72), 10-251 (71), 10-L57 (80) 
10-L08 (90), 10-L14 (60), 10-L32 (60)
10-L66 (63), 10-G45 (51)</t>
  </si>
  <si>
    <r>
      <t xml:space="preserve">SECOND THEORY SESSION: </t>
    </r>
    <r>
      <rPr>
        <b/>
        <sz val="16"/>
        <color rgb="FF0070C0"/>
        <rFont val="Arial"/>
        <family val="2"/>
      </rPr>
      <t>11:30 - 13:30 (Theory)</t>
    </r>
  </si>
  <si>
    <t>10-120 lab (110), 10-140 lab (110), 10-138 lab (110), 
10-L41 lab (110), 10-L44 lab (110),
10-232 lab (55), 10-233 lab (55), 10-240 lab (55), 
10-246 lab (55), 10-248 lab (55), 10-G20 lab (55),
10-G28 lab (55), 10-G29 lab (55), 10-G34  lab (55), 
10-L21A lab (55), 10-L21B lab (55)</t>
  </si>
  <si>
    <t>PPA115D / TRO115D</t>
  </si>
  <si>
    <t>DPIF20/DPMC20/DPRS20/DPIT20</t>
  </si>
  <si>
    <t>Coordinator: V Booi</t>
  </si>
  <si>
    <t>10-120 lab (110), 10-140 lab (110), 10-138 lab (110), 
10-L41 lab (110), 10-L44 lab (110), 10-170 lab (110)</t>
  </si>
  <si>
    <r>
      <t xml:space="preserve">ONLY PRACTICAL SESSION: </t>
    </r>
    <r>
      <rPr>
        <b/>
        <sz val="16"/>
        <color indexed="10"/>
        <rFont val="Arial"/>
        <family val="2"/>
      </rPr>
      <t>08:00 - 11:00 (Prac)</t>
    </r>
  </si>
  <si>
    <t>In the class venue</t>
  </si>
  <si>
    <r>
      <t xml:space="preserve">FIRST THEORY SESSION: </t>
    </r>
    <r>
      <rPr>
        <b/>
        <sz val="16"/>
        <color indexed="30"/>
        <rFont val="Arial"/>
        <family val="2"/>
      </rPr>
      <t>08:00 - 10:00 (Theory)</t>
    </r>
  </si>
  <si>
    <r>
      <t xml:space="preserve">FIRST PRACTICAL SESSION: </t>
    </r>
    <r>
      <rPr>
        <b/>
        <sz val="16"/>
        <color indexed="10"/>
        <rFont val="Arial"/>
        <family val="2"/>
      </rPr>
      <t>09:00 - 12:00 (Prac)</t>
    </r>
  </si>
  <si>
    <t>Get venue info from the Lecturer</t>
  </si>
  <si>
    <t>H</t>
  </si>
  <si>
    <r>
      <t xml:space="preserve">ONLY THEORY SESSION: </t>
    </r>
    <r>
      <rPr>
        <b/>
        <sz val="16"/>
        <color indexed="30"/>
        <rFont val="Arial"/>
        <family val="2"/>
      </rPr>
      <t>08:00 - 10:00 (Theory)</t>
    </r>
  </si>
  <si>
    <r>
      <t xml:space="preserve">ONLY PRACTICAL SESSION: </t>
    </r>
    <r>
      <rPr>
        <b/>
        <sz val="16"/>
        <color indexed="10"/>
        <rFont val="Arial"/>
        <family val="2"/>
      </rPr>
      <t>15:00 - 18:00 (Prac)</t>
    </r>
  </si>
  <si>
    <t>A</t>
  </si>
  <si>
    <r>
      <t xml:space="preserve">ONLY THEORY SESSION: </t>
    </r>
    <r>
      <rPr>
        <b/>
        <sz val="16"/>
        <color indexed="30"/>
        <rFont val="Arial"/>
        <family val="2"/>
      </rPr>
      <t>15:00 - 17:00 (Theory)</t>
    </r>
  </si>
  <si>
    <t>From slot E</t>
  </si>
  <si>
    <r>
      <t xml:space="preserve">ONLY PRACTICAL SESSION: </t>
    </r>
    <r>
      <rPr>
        <b/>
        <sz val="16"/>
        <color indexed="10"/>
        <rFont val="Arial"/>
        <family val="2"/>
      </rPr>
      <t>11:00 - 14:00 (Prac)</t>
    </r>
  </si>
  <si>
    <r>
      <t xml:space="preserve">FIRST THEORY SESSION: </t>
    </r>
    <r>
      <rPr>
        <b/>
        <sz val="16"/>
        <color indexed="30"/>
        <rFont val="Arial"/>
        <family val="2"/>
      </rPr>
      <t>12:00 - 14:00 (Theory)</t>
    </r>
  </si>
  <si>
    <t>D</t>
  </si>
  <si>
    <r>
      <t xml:space="preserve">FIRST THEORY SESSION: </t>
    </r>
    <r>
      <rPr>
        <b/>
        <sz val="16"/>
        <color indexed="30"/>
        <rFont val="Arial"/>
        <family val="2"/>
      </rPr>
      <t>15:00 - 17:00 (Theory)</t>
    </r>
  </si>
  <si>
    <t>SLOT G: FRI 17 OCT</t>
  </si>
  <si>
    <r>
      <t xml:space="preserve">SLOT ??: SAT 18 OCT </t>
    </r>
    <r>
      <rPr>
        <sz val="20"/>
        <rFont val="Arial"/>
        <family val="2"/>
      </rPr>
      <t>(Modules from multiple slots)</t>
    </r>
  </si>
  <si>
    <t>SLOT H: MON 20 OCT</t>
  </si>
  <si>
    <t>SLOT A: MON 20 OCT</t>
  </si>
  <si>
    <t>SLOT F: TUE 21 OCT</t>
  </si>
  <si>
    <t>SLOT E: WED 22 OCT</t>
  </si>
  <si>
    <t>SLOT C: WED 22 OCT</t>
  </si>
  <si>
    <t>SLOT D: WED 22 OCT</t>
  </si>
  <si>
    <t>SLOT B: THU 23 OCT</t>
  </si>
  <si>
    <t xml:space="preserve">PPBF15D / PPB115D / PPGF15D / PPG115D
</t>
  </si>
  <si>
    <t>14-1108 (223), 14-1113 (170),</t>
  </si>
  <si>
    <t xml:space="preserve">PPAF05D / TROF05D
</t>
  </si>
  <si>
    <t>10-246 lab, 10-248 lab, 10-232 lab,
10-233 lab, 10-G20 lab, 10-G28 lab
10-G34 lab</t>
  </si>
  <si>
    <t>10-L14, 10-L66, 10-143
10-L57, 10-212, 10-L08
10-148, 10-L32, 10-152</t>
  </si>
  <si>
    <t>10-232 lab, 10-233 lab, 10-G29 lab
10-246 lab, 10-248 lab, 10-G20 lab
10-G28 lab, 10-240 lab</t>
  </si>
  <si>
    <t>Advanced Diploma / Postgraduate Diploma Semester Test 2 Timetable: 2025 Sem 2 - Final</t>
  </si>
  <si>
    <t xml:space="preserve">SEMESTER TEST 2: </t>
  </si>
  <si>
    <t>SAT 4 OCT SESSION 1 ((T) 08:30 - 11:30, (P) 08:30 - 11:30):</t>
  </si>
  <si>
    <t>SAT 11 OCT SESSION 2 ((P) 11:30 - 14:30, (T) 11:30-14:30):</t>
  </si>
  <si>
    <t>SAT 18 OCT SESSION 3 ((T) 14:30 - 17:30, (P) 14:30-17:30):</t>
  </si>
  <si>
    <t>Advanced Diploma / Postgraduate SICK TESTS Timetable: 2025 Sem 2 - Final</t>
  </si>
  <si>
    <t>SAT 11 OCT SESSION 1 ((T) 08:30 - 11:30, (P) 08:30 - 11:30):</t>
  </si>
  <si>
    <t>SAT 18 OCT SESSION 2 ((P) 11:30 - 14:30, (T) 11:30-14:30):</t>
  </si>
  <si>
    <t>SAT 25 OCT SESSION 3 ((T) 14:30 - 17:30, (P) 14:30-17:30):</t>
  </si>
  <si>
    <r>
      <t xml:space="preserve">SICK TESTS </t>
    </r>
    <r>
      <rPr>
        <b/>
        <sz val="18"/>
        <color theme="5" tint="-0.249977111117893"/>
        <rFont val="Arial"/>
        <family val="2"/>
      </rPr>
      <t>(Sick Tests to be administered concurrently with classes)</t>
    </r>
    <r>
      <rPr>
        <b/>
        <sz val="20"/>
        <rFont val="Arial"/>
        <family val="2"/>
      </rPr>
      <t xml:space="preserve">: </t>
    </r>
  </si>
  <si>
    <t>SPECIAL SESSION 1: FRI 17 OCT</t>
  </si>
  <si>
    <r>
      <t xml:space="preserve">THIRD THEORY SESSION: </t>
    </r>
    <r>
      <rPr>
        <b/>
        <sz val="16"/>
        <color theme="3" tint="0.499984740745262"/>
        <rFont val="Arial"/>
        <family val="2"/>
      </rPr>
      <t>14</t>
    </r>
    <r>
      <rPr>
        <b/>
        <sz val="16"/>
        <color indexed="30"/>
        <rFont val="Arial"/>
        <family val="2"/>
      </rPr>
      <t>:00 - 16:00 (Theory)</t>
    </r>
  </si>
  <si>
    <t>Moved to 14 October.</t>
  </si>
  <si>
    <t>Sick Test</t>
  </si>
  <si>
    <t xml:space="preserve">FACULTY ICT - Sem 2 2025: SICK TESTS (Fri 17 Oct to Thu 23 Oct) - Final </t>
  </si>
  <si>
    <t>FACULTY ICT - Sem 2 2025: Semester Test Week 2 (Mon 6 Oct to Wed 15 Oct) - Final</t>
  </si>
  <si>
    <r>
      <rPr>
        <strike/>
        <sz val="8"/>
        <rFont val="Arial"/>
        <family val="2"/>
      </rPr>
      <t>10-G20 lab</t>
    </r>
    <r>
      <rPr>
        <sz val="8"/>
        <rFont val="Arial"/>
        <family val="2"/>
      </rPr>
      <t xml:space="preserve"> </t>
    </r>
    <r>
      <rPr>
        <b/>
        <sz val="8"/>
        <color rgb="FFFF0000"/>
        <rFont val="Arial"/>
        <family val="2"/>
      </rPr>
      <t>10-140 lab</t>
    </r>
  </si>
  <si>
    <t>Kobo HI</t>
  </si>
  <si>
    <t>10-143 (51), 10-152 (72), 10-251 (71)</t>
  </si>
  <si>
    <t>10-170 lab (110), 10-G34 lab (55)</t>
  </si>
  <si>
    <t>To write Sick Test
on 18-October</t>
  </si>
  <si>
    <r>
      <rPr>
        <strike/>
        <sz val="8"/>
        <color theme="5" tint="-0.249977111117893"/>
        <rFont val="Arial"/>
        <family val="2"/>
      </rPr>
      <t>10-G20 lab</t>
    </r>
    <r>
      <rPr>
        <sz val="8"/>
        <color theme="5" tint="-0.249977111117893"/>
        <rFont val="Arial"/>
        <family val="2"/>
      </rPr>
      <t xml:space="preserve"> </t>
    </r>
    <r>
      <rPr>
        <b/>
        <sz val="8"/>
        <color theme="5" tint="-0.249977111117893"/>
        <rFont val="Arial"/>
        <family val="2"/>
      </rPr>
      <t>10-140 lab</t>
    </r>
  </si>
  <si>
    <r>
      <t xml:space="preserve">10-G20 lab </t>
    </r>
    <r>
      <rPr>
        <b/>
        <strike/>
        <sz val="8"/>
        <color rgb="FFFF0000"/>
        <rFont val="Arial"/>
        <family val="2"/>
      </rPr>
      <t>10-140 lab</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</si>
</sst>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x14ac:knownFonts="1">
    <font>
      <sz val="11"/>
      <color theme="1"/>
      <name val="Aptos Narrow"/>
      <family val="2"/>
      <scheme val="minor"/>
    </font>
    <font>
      <b/>
      <sz val="22"/>
      <name val="Arial"/>
      <family val="2"/>
    </font>
    <font>
      <b/>
      <sz val="20"/>
      <name val="Arial"/>
      <family val="2"/>
    </font>
    <font>
      <b/>
      <sz val="12"/>
      <name val="Arial"/>
      <family val="2"/>
    </font>
    <font>
      <sz val="12"/>
      <name val="Arial"/>
      <family val="2"/>
    </font>
    <font>
      <b/>
      <sz val="16"/>
      <color rgb="FFFF0000"/>
      <name val="Arial"/>
      <family val="2"/>
    </font>
    <font>
      <sz val="12"/>
      <color indexed="10"/>
      <name val="Arial"/>
      <family val="2"/>
    </font>
    <font>
      <b/>
      <sz val="16"/>
      <name val="Arial"/>
      <family val="2"/>
    </font>
    <font>
      <b/>
      <sz val="16"/>
      <color indexed="10"/>
      <name val="Arial"/>
      <family val="2"/>
    </font>
    <font>
      <b/>
      <sz val="12"/>
      <color rgb="FFFF0000"/>
      <name val="Arial"/>
      <family val="2"/>
    </font>
    <font>
      <b/>
      <sz val="16"/>
      <color indexed="30"/>
      <name val="Arial"/>
      <family val="2"/>
    </font>
    <font>
      <strike/>
      <sz val="12"/>
      <name val="Arial"/>
      <family val="2"/>
    </font>
    <font>
      <b/>
      <strike/>
      <sz val="12"/>
      <name val="Arial"/>
      <family val="2"/>
    </font>
    <font>
      <sz val="12"/>
      <color indexed="17"/>
      <name val="Arial"/>
      <family val="2"/>
    </font>
    <font>
      <b/>
      <sz val="16"/>
      <color indexed="17"/>
      <name val="Arial"/>
      <family val="2"/>
    </font>
    <font>
      <b/>
      <sz val="11"/>
      <color theme="1"/>
      <name val="Aptos Narrow"/>
      <family val="2"/>
      <scheme val="minor"/>
    </font>
    <font>
      <b/>
      <sz val="20"/>
      <color rgb="FFFF0000"/>
      <name val="Arial"/>
      <family val="2"/>
    </font>
    <font>
      <sz val="12"/>
      <color rgb="FFFF0000"/>
      <name val="Arial"/>
      <family val="2"/>
    </font>
    <font>
      <b/>
      <sz val="16"/>
      <color theme="3" tint="0.499984740745262"/>
      <name val="Arial"/>
      <family val="2"/>
    </font>
    <font>
      <b/>
      <sz val="16"/>
      <color rgb="FF0070C0"/>
      <name val="Arial"/>
      <family val="2"/>
    </font>
    <font>
      <b/>
      <sz val="12"/>
      <color theme="3" tint="0.499984740745262"/>
      <name val="Arial"/>
      <family val="2"/>
    </font>
    <font>
      <b/>
      <sz val="15"/>
      <name val="Arial"/>
      <family val="2"/>
    </font>
    <font>
      <b/>
      <sz val="18"/>
      <color rgb="FFFF0000"/>
      <name val="Arial"/>
      <family val="2"/>
    </font>
    <font>
      <b/>
      <sz val="10"/>
      <color rgb="FFFF0000"/>
      <name val="ARIAL"/>
      <family val="2"/>
    </font>
    <font>
      <b/>
      <sz val="10"/>
      <name val="Arial"/>
      <family val="2"/>
    </font>
    <font>
      <sz val="10"/>
      <name val="Arial"/>
      <family val="2"/>
    </font>
    <font>
      <b/>
      <sz val="14"/>
      <name val="Arial"/>
      <family val="2"/>
    </font>
    <font>
      <b/>
      <sz val="16"/>
      <color theme="1"/>
      <name val="Aptos Narrow"/>
      <family val="2"/>
      <scheme val="minor"/>
    </font>
    <font>
      <sz val="8"/>
      <name val="Arial"/>
      <family val="2"/>
    </font>
    <font>
      <sz val="8"/>
      <color theme="1"/>
      <name val="Arial"/>
      <family val="2"/>
    </font>
    <font>
      <sz val="8"/>
      <color rgb="FF000000"/>
      <name val="Arial"/>
      <family val="2"/>
    </font>
    <font>
      <b/>
      <sz val="8"/>
      <color rgb="FFFF0000"/>
      <name val="Arial"/>
      <family val="2"/>
    </font>
    <font>
      <b/>
      <sz val="11"/>
      <name val="Aptos Narrow"/>
      <family val="2"/>
      <scheme val="minor"/>
    </font>
    <font>
      <b/>
      <sz val="8"/>
      <name val="Arial"/>
      <family val="2"/>
    </font>
    <font>
      <b/>
      <sz val="9"/>
      <color rgb="FFFF0000"/>
      <name val="Arial"/>
      <family val="2"/>
    </font>
    <font>
      <b/>
      <sz val="8"/>
      <color theme="1"/>
      <name val="Arial"/>
      <family val="2"/>
    </font>
    <font>
      <sz val="8"/>
      <color theme="1"/>
      <name val="Aptos Narrow"/>
      <family val="2"/>
      <scheme val="minor"/>
    </font>
    <font>
      <sz val="16"/>
      <name val="Arial"/>
      <family val="2"/>
    </font>
    <font>
      <sz val="8"/>
      <color rgb="FFC00000"/>
      <name val="Arial"/>
      <family val="2"/>
    </font>
    <font>
      <strike/>
      <sz val="8"/>
      <name val="Arial"/>
      <family val="2"/>
    </font>
    <font>
      <b/>
      <sz val="14"/>
      <color rgb="FFFF0000"/>
      <name val="Arial"/>
      <family val="2"/>
    </font>
    <font>
      <sz val="20"/>
      <name val="Arial"/>
      <family val="2"/>
    </font>
    <font>
      <sz val="12"/>
      <color theme="1"/>
      <name val="Arial"/>
      <family val="2"/>
    </font>
    <font>
      <b/>
      <sz val="18"/>
      <color theme="5" tint="-0.249977111117893"/>
      <name val="Arial"/>
      <family val="2"/>
    </font>
    <font>
      <b/>
      <sz val="20"/>
      <color theme="5" tint="-0.249977111117893"/>
      <name val="Arial"/>
      <family val="2"/>
    </font>
    <font>
      <strike/>
      <sz val="12"/>
      <color theme="5" tint="0.59999389629810485"/>
      <name val="Arial"/>
      <family val="2"/>
    </font>
    <font>
      <b/>
      <strike/>
      <sz val="12"/>
      <color theme="5" tint="0.59999389629810485"/>
      <name val="Arial"/>
      <family val="2"/>
    </font>
    <font>
      <sz val="8"/>
      <color theme="5" tint="-0.249977111117893"/>
      <name val="Arial"/>
      <family val="2"/>
    </font>
    <font>
      <strike/>
      <sz val="8"/>
      <color theme="5" tint="-0.249977111117893"/>
      <name val="Arial"/>
      <family val="2"/>
    </font>
    <font>
      <b/>
      <sz val="8"/>
      <color theme="5" tint="-0.249977111117893"/>
      <name val="Arial"/>
      <family val="2"/>
    </font>
    <font>
      <b/>
      <strike/>
      <sz val="8"/>
      <color rgb="FFFF0000"/>
      <name val="Arial"/>
      <family val="2"/>
    </font>
  </fonts>
  <fills count="16">
    <fill>
      <patternFill patternType="none"/>
    </fill>
    <fill>
      <patternFill patternType="gray125"/>
    </fill>
    <fill>
      <patternFill patternType="solid">
        <fgColor rgb="FFFFC000"/>
        <bgColor indexed="64"/>
      </patternFill>
    </fill>
    <fill>
      <patternFill patternType="solid">
        <fgColor theme="5" tint="0.59999389629810485"/>
        <bgColor indexed="64"/>
      </patternFill>
    </fill>
    <fill>
      <patternFill patternType="solid">
        <fgColor theme="0"/>
        <bgColor indexed="64"/>
      </patternFill>
    </fill>
    <fill>
      <patternFill patternType="solid">
        <fgColor indexed="2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rgb="FFFF66FF"/>
        <bgColor indexed="64"/>
      </patternFill>
    </fill>
    <fill>
      <patternFill patternType="solid">
        <fgColor theme="3" tint="0.79998168889431442"/>
        <bgColor indexed="64"/>
      </patternFill>
    </fill>
    <fill>
      <patternFill patternType="solid">
        <fgColor rgb="FF99FF33"/>
        <bgColor indexed="64"/>
      </patternFill>
    </fill>
    <fill>
      <patternFill patternType="solid">
        <fgColor theme="3" tint="0.749992370372631"/>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7" tint="0.59999389629810485"/>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style="thin">
        <color indexed="64"/>
      </left>
      <right/>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style="medium">
        <color indexed="64"/>
      </left>
      <right/>
      <top/>
      <bottom/>
      <diagonal/>
    </border>
    <border>
      <left style="thin">
        <color indexed="64"/>
      </left>
      <right style="thin">
        <color indexed="64"/>
      </right>
      <top/>
      <bottom style="medium">
        <color indexed="64"/>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s>
  <cellStyleXfs count="2">
    <xf numFmtId="0" fontId="0" fillId="0" borderId="0"/>
    <xf numFmtId="0" fontId="25" fillId="0" borderId="0"/>
  </cellStyleXfs>
  <cellXfs count="545">
    <xf numFmtId="0" fontId="0" fillId="0" borderId="0" xfId="0"/>
    <xf numFmtId="0" fontId="1" fillId="0" borderId="0" xfId="0" applyFont="1" applyAlignment="1">
      <alignment horizontal="left"/>
    </xf>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2" fillId="0" borderId="0" xfId="0" applyFont="1"/>
    <xf numFmtId="0" fontId="2" fillId="2" borderId="1" xfId="0" applyFont="1" applyFill="1" applyBorder="1"/>
    <xf numFmtId="0" fontId="2" fillId="2" borderId="1" xfId="0" applyFont="1" applyFill="1" applyBorder="1" applyAlignment="1">
      <alignment horizontal="center"/>
    </xf>
    <xf numFmtId="0" fontId="3" fillId="2" borderId="1" xfId="0" applyFont="1" applyFill="1" applyBorder="1" applyAlignment="1">
      <alignment horizontal="center" vertical="center"/>
    </xf>
    <xf numFmtId="0" fontId="4" fillId="2" borderId="1" xfId="0" applyFont="1" applyFill="1" applyBorder="1"/>
    <xf numFmtId="0" fontId="5" fillId="2" borderId="1" xfId="0" applyFont="1" applyFill="1" applyBorder="1" applyAlignment="1">
      <alignment horizontal="center"/>
    </xf>
    <xf numFmtId="0" fontId="4" fillId="0" borderId="1" xfId="0" quotePrefix="1" applyFont="1" applyBorder="1" applyAlignment="1">
      <alignment horizontal="center"/>
    </xf>
    <xf numFmtId="0" fontId="6" fillId="0" borderId="1" xfId="0" applyFont="1" applyBorder="1"/>
    <xf numFmtId="0" fontId="4" fillId="0" borderId="1" xfId="0" applyFont="1" applyBorder="1" applyAlignment="1">
      <alignment horizontal="center"/>
    </xf>
    <xf numFmtId="0" fontId="3" fillId="0" borderId="1" xfId="0" applyFont="1" applyBorder="1" applyAlignment="1">
      <alignment horizontal="center" vertical="center"/>
    </xf>
    <xf numFmtId="0" fontId="3" fillId="0" borderId="1" xfId="0" applyFont="1" applyBorder="1" applyAlignment="1">
      <alignment horizontal="center" wrapText="1"/>
    </xf>
    <xf numFmtId="0" fontId="3" fillId="3" borderId="1" xfId="0" applyFont="1" applyFill="1" applyBorder="1" applyAlignment="1">
      <alignment horizontal="center"/>
    </xf>
    <xf numFmtId="0" fontId="3" fillId="0" borderId="1" xfId="0" applyFont="1" applyBorder="1" applyAlignment="1">
      <alignment horizontal="center"/>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9" fillId="0" borderId="1" xfId="0" applyFont="1" applyBorder="1" applyAlignment="1">
      <alignment horizontal="center" vertical="center" wrapText="1"/>
    </xf>
    <xf numFmtId="0" fontId="3" fillId="3" borderId="1" xfId="0" applyFont="1" applyFill="1" applyBorder="1" applyAlignment="1">
      <alignment horizontal="center" vertical="center"/>
    </xf>
    <xf numFmtId="0" fontId="5" fillId="0" borderId="1" xfId="0" applyFont="1" applyBorder="1" applyAlignment="1">
      <alignment horizontal="center"/>
    </xf>
    <xf numFmtId="0" fontId="3" fillId="0" borderId="1" xfId="0" applyFont="1" applyBorder="1" applyAlignment="1">
      <alignment horizontal="left"/>
    </xf>
    <xf numFmtId="0" fontId="3" fillId="4" borderId="1" xfId="0" applyFont="1" applyFill="1" applyBorder="1" applyAlignment="1">
      <alignment horizontal="left"/>
    </xf>
    <xf numFmtId="0" fontId="3" fillId="4" borderId="1" xfId="0" applyFont="1" applyFill="1" applyBorder="1" applyAlignment="1">
      <alignment horizontal="left" wrapText="1"/>
    </xf>
    <xf numFmtId="0" fontId="3" fillId="4" borderId="1" xfId="0" applyFont="1" applyFill="1" applyBorder="1" applyAlignment="1">
      <alignment horizontal="center" vertical="center"/>
    </xf>
    <xf numFmtId="0" fontId="3" fillId="0" borderId="1" xfId="0" applyFont="1" applyBorder="1" applyAlignment="1">
      <alignment horizontal="left" wrapText="1"/>
    </xf>
    <xf numFmtId="0" fontId="9" fillId="0" borderId="1" xfId="0" applyFont="1" applyBorder="1" applyAlignment="1">
      <alignment horizontal="center"/>
    </xf>
    <xf numFmtId="0" fontId="3" fillId="5" borderId="1" xfId="0" applyFont="1" applyFill="1" applyBorder="1" applyAlignment="1">
      <alignment horizontal="left"/>
    </xf>
    <xf numFmtId="0" fontId="3" fillId="5" borderId="1" xfId="0" applyFont="1" applyFill="1" applyBorder="1" applyAlignment="1">
      <alignment horizontal="center"/>
    </xf>
    <xf numFmtId="0" fontId="3" fillId="5" borderId="1" xfId="0" applyFont="1" applyFill="1" applyBorder="1" applyAlignment="1">
      <alignment horizontal="center" wrapText="1"/>
    </xf>
    <xf numFmtId="0" fontId="3" fillId="6" borderId="1" xfId="0" applyFont="1" applyFill="1" applyBorder="1" applyAlignment="1">
      <alignment horizontal="center" vertical="center"/>
    </xf>
    <xf numFmtId="0" fontId="4" fillId="5" borderId="1" xfId="0" applyFont="1" applyFill="1" applyBorder="1" applyAlignment="1">
      <alignment horizontal="left"/>
    </xf>
    <xf numFmtId="0" fontId="9" fillId="7" borderId="1" xfId="0" applyFont="1" applyFill="1" applyBorder="1" applyAlignment="1">
      <alignment horizontal="center"/>
    </xf>
    <xf numFmtId="0" fontId="4" fillId="0" borderId="2" xfId="0" applyFont="1" applyBorder="1"/>
    <xf numFmtId="0" fontId="4" fillId="4" borderId="2" xfId="0" applyFont="1" applyFill="1" applyBorder="1"/>
    <xf numFmtId="0" fontId="4" fillId="0" borderId="1" xfId="0" applyFont="1" applyBorder="1" applyAlignment="1">
      <alignment horizontal="center" vertical="center"/>
    </xf>
    <xf numFmtId="0" fontId="3" fillId="4" borderId="1" xfId="0" applyFont="1" applyFill="1" applyBorder="1" applyAlignment="1">
      <alignment horizontal="center" vertical="center" wrapText="1"/>
    </xf>
    <xf numFmtId="0" fontId="4" fillId="0" borderId="1" xfId="0" applyFont="1" applyBorder="1" applyAlignment="1">
      <alignment horizontal="left" vertical="center"/>
    </xf>
    <xf numFmtId="0" fontId="4" fillId="4" borderId="1" xfId="0" applyFont="1" applyFill="1" applyBorder="1" applyAlignment="1">
      <alignment horizontal="left"/>
    </xf>
    <xf numFmtId="0" fontId="3" fillId="4" borderId="1" xfId="0" applyFont="1" applyFill="1" applyBorder="1" applyAlignment="1">
      <alignment horizontal="center"/>
    </xf>
    <xf numFmtId="0" fontId="4" fillId="4" borderId="1" xfId="0" applyFont="1" applyFill="1" applyBorder="1" applyAlignment="1">
      <alignment horizontal="center" vertical="center"/>
    </xf>
    <xf numFmtId="0" fontId="4" fillId="4" borderId="1" xfId="0" applyFont="1" applyFill="1" applyBorder="1" applyAlignment="1">
      <alignment horizontal="left" wrapText="1"/>
    </xf>
    <xf numFmtId="0" fontId="4" fillId="4" borderId="1" xfId="0" applyFont="1" applyFill="1" applyBorder="1" applyAlignment="1">
      <alignment horizontal="left" vertical="center"/>
    </xf>
    <xf numFmtId="0" fontId="4" fillId="0" borderId="1" xfId="0" applyFont="1" applyBorder="1" applyAlignment="1">
      <alignment vertical="center"/>
    </xf>
    <xf numFmtId="0" fontId="4" fillId="0" borderId="1" xfId="0" applyFont="1" applyBorder="1" applyAlignment="1">
      <alignment horizontal="left" vertical="center" wrapText="1"/>
    </xf>
    <xf numFmtId="0" fontId="3" fillId="8" borderId="1" xfId="0" applyFont="1" applyFill="1" applyBorder="1" applyAlignment="1">
      <alignment horizontal="center" wrapText="1"/>
    </xf>
    <xf numFmtId="0" fontId="9" fillId="8" borderId="1" xfId="0" applyFont="1" applyFill="1" applyBorder="1" applyAlignment="1">
      <alignment horizontal="center" vertical="center"/>
    </xf>
    <xf numFmtId="0" fontId="4" fillId="5" borderId="1" xfId="0" applyFont="1" applyFill="1" applyBorder="1" applyAlignment="1">
      <alignment horizontal="center"/>
    </xf>
    <xf numFmtId="0" fontId="4" fillId="5" borderId="1" xfId="0" applyFont="1" applyFill="1" applyBorder="1" applyAlignment="1">
      <alignment horizontal="center" wrapText="1"/>
    </xf>
    <xf numFmtId="0" fontId="4" fillId="4" borderId="3" xfId="0" applyFont="1" applyFill="1" applyBorder="1" applyAlignment="1">
      <alignment horizontal="left"/>
    </xf>
    <xf numFmtId="0" fontId="4" fillId="0" borderId="3" xfId="0" applyFont="1" applyBorder="1"/>
    <xf numFmtId="0" fontId="4" fillId="0" borderId="1" xfId="0" applyFont="1" applyBorder="1"/>
    <xf numFmtId="0" fontId="4" fillId="4" borderId="1" xfId="0" applyFont="1" applyFill="1" applyBorder="1" applyAlignment="1">
      <alignment vertical="center" wrapText="1"/>
    </xf>
    <xf numFmtId="0" fontId="11" fillId="4" borderId="1" xfId="0" applyFont="1" applyFill="1" applyBorder="1" applyAlignment="1">
      <alignment horizontal="left" vertical="center"/>
    </xf>
    <xf numFmtId="0" fontId="12" fillId="4" borderId="1" xfId="0" applyFont="1" applyFill="1" applyBorder="1" applyAlignment="1">
      <alignment horizontal="center" vertical="center" wrapText="1"/>
    </xf>
    <xf numFmtId="0" fontId="9" fillId="0" borderId="0" xfId="0" applyFont="1" applyAlignment="1">
      <alignment horizontal="center"/>
    </xf>
    <xf numFmtId="0" fontId="4" fillId="0" borderId="0" xfId="0" applyFont="1"/>
    <xf numFmtId="0" fontId="3" fillId="0" borderId="0" xfId="0" applyFont="1" applyAlignment="1">
      <alignment horizontal="center"/>
    </xf>
    <xf numFmtId="0" fontId="3" fillId="0" borderId="0" xfId="0" applyFont="1"/>
    <xf numFmtId="0" fontId="3" fillId="0" borderId="0" xfId="0" applyFont="1" applyAlignment="1">
      <alignment horizontal="center" vertical="center"/>
    </xf>
    <xf numFmtId="0" fontId="3" fillId="0" borderId="0" xfId="0" applyFont="1" applyAlignment="1">
      <alignment wrapText="1"/>
    </xf>
    <xf numFmtId="0" fontId="11" fillId="0" borderId="0" xfId="0" applyFont="1"/>
    <xf numFmtId="0" fontId="4" fillId="0" borderId="0" xfId="0" applyFont="1" applyAlignment="1">
      <alignment vertical="center"/>
    </xf>
    <xf numFmtId="0" fontId="3" fillId="4" borderId="3" xfId="0" applyFont="1" applyFill="1" applyBorder="1" applyAlignment="1">
      <alignment horizontal="center" vertical="center" wrapText="1"/>
    </xf>
    <xf numFmtId="0" fontId="11" fillId="0" borderId="1" xfId="0" applyFont="1" applyBorder="1" applyAlignment="1">
      <alignment horizontal="center" vertical="center"/>
    </xf>
    <xf numFmtId="0" fontId="12" fillId="0" borderId="1" xfId="0" applyFont="1" applyBorder="1" applyAlignment="1">
      <alignment horizontal="center" vertical="center"/>
    </xf>
    <xf numFmtId="0" fontId="4" fillId="4" borderId="1" xfId="0" applyFont="1" applyFill="1" applyBorder="1" applyAlignment="1">
      <alignment horizontal="center"/>
    </xf>
    <xf numFmtId="0" fontId="7" fillId="9" borderId="4" xfId="0" applyFont="1" applyFill="1" applyBorder="1" applyAlignment="1">
      <alignment horizontal="left"/>
    </xf>
    <xf numFmtId="0" fontId="0" fillId="9" borderId="5" xfId="0" applyFill="1" applyBorder="1"/>
    <xf numFmtId="0" fontId="0" fillId="9" borderId="6" xfId="0" applyFill="1" applyBorder="1"/>
    <xf numFmtId="0" fontId="4" fillId="9" borderId="1" xfId="0" applyFont="1" applyFill="1" applyBorder="1" applyAlignment="1">
      <alignment horizontal="center"/>
    </xf>
    <xf numFmtId="0" fontId="3" fillId="9" borderId="1" xfId="0" applyFont="1" applyFill="1" applyBorder="1" applyAlignment="1">
      <alignment horizontal="center" vertical="center" wrapText="1"/>
    </xf>
    <xf numFmtId="0" fontId="4" fillId="9" borderId="1" xfId="0" applyFont="1" applyFill="1" applyBorder="1" applyAlignment="1">
      <alignment horizontal="center" wrapText="1"/>
    </xf>
    <xf numFmtId="0" fontId="4" fillId="9" borderId="1" xfId="0" applyFont="1" applyFill="1" applyBorder="1"/>
    <xf numFmtId="0" fontId="7" fillId="4" borderId="4" xfId="0" applyFont="1" applyFill="1" applyBorder="1" applyAlignment="1">
      <alignment horizontal="left"/>
    </xf>
    <xf numFmtId="0" fontId="0" fillId="4" borderId="5" xfId="0" applyFill="1" applyBorder="1"/>
    <xf numFmtId="0" fontId="4" fillId="4" borderId="1" xfId="0" applyFont="1" applyFill="1" applyBorder="1" applyAlignment="1">
      <alignment horizontal="center" wrapText="1"/>
    </xf>
    <xf numFmtId="0" fontId="4" fillId="4" borderId="1" xfId="0" applyFont="1" applyFill="1" applyBorder="1"/>
    <xf numFmtId="0" fontId="4" fillId="4" borderId="0" xfId="0" applyFont="1" applyFill="1"/>
    <xf numFmtId="0" fontId="9" fillId="10" borderId="1" xfId="0" applyFont="1" applyFill="1" applyBorder="1" applyAlignment="1">
      <alignment horizontal="center"/>
    </xf>
    <xf numFmtId="0" fontId="4" fillId="4" borderId="1" xfId="0" quotePrefix="1" applyFont="1" applyFill="1" applyBorder="1" applyAlignment="1">
      <alignment vertical="top"/>
    </xf>
    <xf numFmtId="0" fontId="13" fillId="4" borderId="1" xfId="0" applyFont="1" applyFill="1" applyBorder="1" applyAlignment="1">
      <alignment horizontal="left"/>
    </xf>
    <xf numFmtId="0" fontId="4" fillId="4" borderId="3" xfId="0" applyFont="1" applyFill="1" applyBorder="1" applyAlignment="1">
      <alignment horizontal="center" wrapText="1"/>
    </xf>
    <xf numFmtId="0" fontId="3" fillId="4" borderId="1" xfId="0" applyFont="1" applyFill="1" applyBorder="1" applyAlignment="1">
      <alignment horizontal="center" wrapText="1"/>
    </xf>
    <xf numFmtId="0" fontId="3" fillId="4" borderId="5" xfId="0" applyFont="1" applyFill="1" applyBorder="1" applyAlignment="1">
      <alignment horizontal="center"/>
    </xf>
    <xf numFmtId="0" fontId="9" fillId="4" borderId="1" xfId="0" applyFont="1" applyFill="1" applyBorder="1" applyAlignment="1">
      <alignment horizontal="center"/>
    </xf>
    <xf numFmtId="0" fontId="4" fillId="4" borderId="3" xfId="0" applyFont="1" applyFill="1" applyBorder="1" applyAlignment="1">
      <alignment horizontal="center"/>
    </xf>
    <xf numFmtId="0" fontId="3" fillId="4" borderId="3" xfId="0" applyFont="1" applyFill="1" applyBorder="1" applyAlignment="1">
      <alignment horizontal="center"/>
    </xf>
    <xf numFmtId="0" fontId="3" fillId="4" borderId="3" xfId="0" applyFont="1" applyFill="1" applyBorder="1" applyAlignment="1">
      <alignment vertical="center" wrapText="1"/>
    </xf>
    <xf numFmtId="0" fontId="9" fillId="4" borderId="3" xfId="0" applyFont="1" applyFill="1" applyBorder="1" applyAlignment="1">
      <alignment horizontal="center" vertical="center"/>
    </xf>
    <xf numFmtId="0" fontId="3" fillId="4" borderId="11" xfId="0" applyFont="1" applyFill="1" applyBorder="1" applyAlignment="1">
      <alignment horizontal="center" vertical="center"/>
    </xf>
    <xf numFmtId="0" fontId="9" fillId="4" borderId="1" xfId="0" applyFont="1" applyFill="1" applyBorder="1" applyAlignment="1">
      <alignment horizontal="center" wrapText="1"/>
    </xf>
    <xf numFmtId="0" fontId="4" fillId="8" borderId="1" xfId="0" applyFont="1" applyFill="1" applyBorder="1"/>
    <xf numFmtId="0" fontId="3" fillId="8" borderId="1" xfId="0" applyFont="1" applyFill="1" applyBorder="1" applyAlignment="1">
      <alignment horizontal="left"/>
    </xf>
    <xf numFmtId="0" fontId="3" fillId="8" borderId="1" xfId="0" applyFont="1" applyFill="1" applyBorder="1" applyAlignment="1">
      <alignment horizontal="left" wrapText="1"/>
    </xf>
    <xf numFmtId="0" fontId="3" fillId="8" borderId="1" xfId="0" applyFont="1" applyFill="1" applyBorder="1" applyAlignment="1">
      <alignment horizontal="center" vertical="center"/>
    </xf>
    <xf numFmtId="0" fontId="3" fillId="8" borderId="1" xfId="0" applyFont="1" applyFill="1" applyBorder="1" applyAlignment="1">
      <alignment horizontal="center"/>
    </xf>
    <xf numFmtId="0" fontId="4" fillId="8" borderId="1" xfId="0" applyFont="1" applyFill="1" applyBorder="1" applyAlignment="1">
      <alignment horizontal="center"/>
    </xf>
    <xf numFmtId="0" fontId="4" fillId="8" borderId="1" xfId="0" applyFont="1" applyFill="1" applyBorder="1" applyAlignment="1">
      <alignment horizontal="center" wrapText="1"/>
    </xf>
    <xf numFmtId="0" fontId="4" fillId="8" borderId="1" xfId="0" quotePrefix="1" applyFont="1" applyFill="1" applyBorder="1" applyAlignment="1">
      <alignment horizontal="center" vertical="center"/>
    </xf>
    <xf numFmtId="0" fontId="4" fillId="8" borderId="1" xfId="0" applyFont="1" applyFill="1" applyBorder="1" applyAlignment="1">
      <alignment horizontal="left" vertical="center"/>
    </xf>
    <xf numFmtId="0" fontId="4" fillId="8" borderId="1" xfId="0" applyFont="1" applyFill="1" applyBorder="1" applyAlignment="1">
      <alignment vertical="center"/>
    </xf>
    <xf numFmtId="0" fontId="4" fillId="8" borderId="1" xfId="0" applyFont="1" applyFill="1" applyBorder="1" applyAlignment="1">
      <alignment horizontal="center" vertical="center"/>
    </xf>
    <xf numFmtId="0" fontId="3" fillId="8" borderId="1" xfId="0" applyFont="1" applyFill="1" applyBorder="1" applyAlignment="1">
      <alignment horizontal="center" vertical="center" wrapText="1"/>
    </xf>
    <xf numFmtId="0" fontId="4" fillId="0" borderId="0" xfId="0" applyFont="1" applyAlignment="1">
      <alignment horizontal="center"/>
    </xf>
    <xf numFmtId="0" fontId="4" fillId="0" borderId="0" xfId="0" applyFont="1" applyAlignment="1">
      <alignment horizontal="center" wrapText="1"/>
    </xf>
    <xf numFmtId="0" fontId="11" fillId="0" borderId="1" xfId="0" applyFont="1" applyBorder="1" applyAlignment="1">
      <alignment horizontal="left" vertical="center"/>
    </xf>
    <xf numFmtId="0" fontId="4" fillId="0" borderId="3" xfId="0" applyFont="1" applyBorder="1" applyAlignment="1">
      <alignment horizontal="left"/>
    </xf>
    <xf numFmtId="0" fontId="4" fillId="4" borderId="1" xfId="0" applyFont="1" applyFill="1" applyBorder="1" applyAlignment="1">
      <alignment vertical="center"/>
    </xf>
    <xf numFmtId="0" fontId="3" fillId="4" borderId="3" xfId="0" applyFont="1" applyFill="1" applyBorder="1" applyAlignment="1">
      <alignment horizontal="left"/>
    </xf>
    <xf numFmtId="0" fontId="4" fillId="11" borderId="1" xfId="0" quotePrefix="1" applyFont="1" applyFill="1" applyBorder="1" applyAlignment="1">
      <alignment horizontal="center" vertical="center"/>
    </xf>
    <xf numFmtId="0" fontId="4" fillId="4" borderId="1" xfId="0" quotePrefix="1" applyFont="1" applyFill="1" applyBorder="1" applyAlignment="1">
      <alignment horizontal="center" vertical="center"/>
    </xf>
    <xf numFmtId="0" fontId="4" fillId="6" borderId="1" xfId="0" applyFont="1" applyFill="1" applyBorder="1" applyAlignment="1">
      <alignment vertical="center"/>
    </xf>
    <xf numFmtId="0" fontId="4" fillId="6" borderId="1" xfId="0" applyFont="1" applyFill="1" applyBorder="1" applyAlignment="1">
      <alignment vertical="center" wrapText="1"/>
    </xf>
    <xf numFmtId="0" fontId="4" fillId="6" borderId="1" xfId="0" applyFont="1" applyFill="1" applyBorder="1" applyAlignment="1">
      <alignment horizontal="left" vertical="center"/>
    </xf>
    <xf numFmtId="0" fontId="4" fillId="8" borderId="1" xfId="0" applyFont="1" applyFill="1" applyBorder="1" applyAlignment="1">
      <alignment vertical="center" wrapText="1"/>
    </xf>
    <xf numFmtId="0" fontId="2" fillId="12" borderId="1" xfId="0" applyFont="1" applyFill="1" applyBorder="1"/>
    <xf numFmtId="0" fontId="2" fillId="12" borderId="1" xfId="0" applyFont="1" applyFill="1" applyBorder="1" applyAlignment="1">
      <alignment horizontal="center"/>
    </xf>
    <xf numFmtId="0" fontId="3" fillId="12" borderId="1" xfId="0" applyFont="1" applyFill="1" applyBorder="1" applyAlignment="1">
      <alignment horizontal="center" vertical="center"/>
    </xf>
    <xf numFmtId="0" fontId="4" fillId="12" borderId="1" xfId="0" applyFont="1" applyFill="1" applyBorder="1"/>
    <xf numFmtId="0" fontId="5" fillId="12" borderId="1" xfId="0" applyFont="1" applyFill="1" applyBorder="1" applyAlignment="1">
      <alignment horizontal="center"/>
    </xf>
    <xf numFmtId="0" fontId="4" fillId="11" borderId="1" xfId="0" applyFont="1" applyFill="1" applyBorder="1" applyAlignment="1">
      <alignment vertical="center" wrapText="1"/>
    </xf>
    <xf numFmtId="0" fontId="4" fillId="0" borderId="1" xfId="0" applyFont="1" applyBorder="1" applyAlignment="1">
      <alignment horizontal="center" vertical="top"/>
    </xf>
    <xf numFmtId="0" fontId="6" fillId="0" borderId="1" xfId="0" applyFont="1" applyBorder="1" applyAlignment="1">
      <alignment vertical="top"/>
    </xf>
    <xf numFmtId="0" fontId="4" fillId="0" borderId="1" xfId="0" applyFont="1" applyBorder="1" applyAlignment="1">
      <alignment vertical="top"/>
    </xf>
    <xf numFmtId="0" fontId="4" fillId="0" borderId="1" xfId="0" applyFont="1" applyBorder="1" applyAlignment="1">
      <alignment vertical="top" wrapText="1"/>
    </xf>
    <xf numFmtId="0" fontId="4" fillId="0" borderId="1" xfId="0" applyFont="1" applyBorder="1" applyAlignment="1">
      <alignment horizontal="left" vertical="top" wrapText="1"/>
    </xf>
    <xf numFmtId="0" fontId="4" fillId="0" borderId="1" xfId="0" applyFont="1" applyBorder="1" applyAlignment="1">
      <alignment horizontal="center" wrapText="1"/>
    </xf>
    <xf numFmtId="0" fontId="4" fillId="0" borderId="1" xfId="0" quotePrefix="1" applyFont="1" applyBorder="1" applyAlignment="1">
      <alignment vertical="center"/>
    </xf>
    <xf numFmtId="0" fontId="4" fillId="0" borderId="1" xfId="0" applyFont="1" applyBorder="1" applyAlignment="1">
      <alignment vertical="center" wrapText="1"/>
    </xf>
    <xf numFmtId="0" fontId="4" fillId="6" borderId="1" xfId="0" applyFont="1" applyFill="1" applyBorder="1" applyAlignment="1">
      <alignment horizontal="right" vertical="top"/>
    </xf>
    <xf numFmtId="0" fontId="4" fillId="6" borderId="1" xfId="0" applyFont="1" applyFill="1" applyBorder="1"/>
    <xf numFmtId="0" fontId="4" fillId="6" borderId="1" xfId="0" applyFont="1" applyFill="1" applyBorder="1" applyAlignment="1">
      <alignment horizontal="center"/>
    </xf>
    <xf numFmtId="0" fontId="9" fillId="6" borderId="1" xfId="0" applyFont="1" applyFill="1" applyBorder="1" applyAlignment="1">
      <alignment horizontal="center"/>
    </xf>
    <xf numFmtId="0" fontId="4" fillId="6" borderId="1" xfId="0" applyFont="1" applyFill="1" applyBorder="1" applyAlignment="1">
      <alignment vertical="top" wrapText="1"/>
    </xf>
    <xf numFmtId="0" fontId="9" fillId="6" borderId="1" xfId="0" applyFont="1" applyFill="1" applyBorder="1" applyAlignment="1">
      <alignment horizontal="center" vertical="center"/>
    </xf>
    <xf numFmtId="0" fontId="17" fillId="0" borderId="1" xfId="0" applyFont="1" applyBorder="1" applyAlignment="1">
      <alignment vertical="center"/>
    </xf>
    <xf numFmtId="0" fontId="17" fillId="0" borderId="1" xfId="0" applyFont="1" applyBorder="1" applyAlignment="1">
      <alignment vertical="center" wrapText="1"/>
    </xf>
    <xf numFmtId="0" fontId="9" fillId="0" borderId="1" xfId="0" applyFont="1" applyBorder="1" applyAlignment="1">
      <alignment horizontal="center" vertical="center"/>
    </xf>
    <xf numFmtId="0" fontId="4" fillId="0" borderId="1" xfId="0" applyFont="1" applyBorder="1" applyAlignment="1">
      <alignment horizontal="left" wrapText="1"/>
    </xf>
    <xf numFmtId="0" fontId="3" fillId="0" borderId="1" xfId="0" applyFont="1" applyBorder="1" applyAlignment="1">
      <alignment horizontal="left" vertical="center" wrapText="1"/>
    </xf>
    <xf numFmtId="0" fontId="4" fillId="4" borderId="1" xfId="0" applyFont="1" applyFill="1" applyBorder="1" applyAlignment="1">
      <alignment horizontal="left" vertical="center" wrapText="1"/>
    </xf>
    <xf numFmtId="0" fontId="3" fillId="0" borderId="1" xfId="0" applyFont="1" applyBorder="1" applyAlignment="1">
      <alignment horizontal="left" vertical="center"/>
    </xf>
    <xf numFmtId="0" fontId="20" fillId="4" borderId="1" xfId="0" applyFont="1" applyFill="1" applyBorder="1" applyAlignment="1">
      <alignment horizontal="center" vertical="center" wrapText="1"/>
    </xf>
    <xf numFmtId="0" fontId="3" fillId="8" borderId="4" xfId="0" applyFont="1" applyFill="1" applyBorder="1" applyAlignment="1">
      <alignment horizontal="left"/>
    </xf>
    <xf numFmtId="0" fontId="9" fillId="8" borderId="1" xfId="0" applyFont="1" applyFill="1" applyBorder="1" applyAlignment="1">
      <alignment horizontal="center"/>
    </xf>
    <xf numFmtId="0" fontId="4" fillId="8" borderId="4" xfId="0" applyFont="1" applyFill="1" applyBorder="1" applyAlignment="1">
      <alignment horizontal="left"/>
    </xf>
    <xf numFmtId="0" fontId="4" fillId="6" borderId="1" xfId="0" applyFont="1" applyFill="1" applyBorder="1" applyAlignment="1">
      <alignment horizontal="center" wrapText="1"/>
    </xf>
    <xf numFmtId="0" fontId="7" fillId="0" borderId="0" xfId="0" applyFont="1"/>
    <xf numFmtId="0" fontId="0" fillId="0" borderId="0" xfId="0" applyAlignment="1">
      <alignment horizontal="center"/>
    </xf>
    <xf numFmtId="0" fontId="3" fillId="0" borderId="16" xfId="0" applyFont="1" applyBorder="1"/>
    <xf numFmtId="0" fontId="3" fillId="0" borderId="17" xfId="0" applyFont="1" applyBorder="1" applyAlignment="1">
      <alignment horizontal="left"/>
    </xf>
    <xf numFmtId="0" fontId="3" fillId="0" borderId="0" xfId="0" applyFont="1" applyAlignment="1">
      <alignment horizontal="left"/>
    </xf>
    <xf numFmtId="0" fontId="22" fillId="0" borderId="14" xfId="0" applyFont="1" applyBorder="1" applyAlignment="1">
      <alignment horizontal="center"/>
    </xf>
    <xf numFmtId="0" fontId="0" fillId="0" borderId="15" xfId="0" applyBorder="1"/>
    <xf numFmtId="0" fontId="24" fillId="0" borderId="20" xfId="0" applyFont="1" applyBorder="1"/>
    <xf numFmtId="0" fontId="25" fillId="0" borderId="21" xfId="0" applyFont="1" applyBorder="1"/>
    <xf numFmtId="0" fontId="25" fillId="0" borderId="0" xfId="0" applyFont="1"/>
    <xf numFmtId="0" fontId="25" fillId="0" borderId="0" xfId="0" applyFont="1" applyAlignment="1">
      <alignment horizontal="center"/>
    </xf>
    <xf numFmtId="0" fontId="25" fillId="0" borderId="22" xfId="0" applyFont="1" applyBorder="1"/>
    <xf numFmtId="0" fontId="15" fillId="0" borderId="24" xfId="0" applyFont="1" applyBorder="1"/>
    <xf numFmtId="0" fontId="15" fillId="0" borderId="25" xfId="0" applyFont="1" applyBorder="1"/>
    <xf numFmtId="0" fontId="15" fillId="0" borderId="26" xfId="0" applyFont="1" applyBorder="1" applyAlignment="1">
      <alignment horizontal="center" wrapText="1"/>
    </xf>
    <xf numFmtId="0" fontId="15" fillId="0" borderId="16" xfId="0" applyFont="1" applyBorder="1"/>
    <xf numFmtId="0" fontId="24" fillId="0" borderId="27" xfId="0" applyFont="1" applyBorder="1"/>
    <xf numFmtId="0" fontId="15" fillId="0" borderId="28" xfId="0" applyFont="1" applyBorder="1" applyAlignment="1">
      <alignment vertical="center"/>
    </xf>
    <xf numFmtId="0" fontId="27" fillId="0" borderId="29" xfId="0" applyFont="1" applyBorder="1" applyAlignment="1">
      <alignment vertical="center"/>
    </xf>
    <xf numFmtId="0" fontId="27" fillId="0" borderId="30" xfId="0" applyFont="1" applyBorder="1" applyAlignment="1">
      <alignment vertical="center"/>
    </xf>
    <xf numFmtId="49" fontId="27" fillId="0" borderId="31" xfId="0" applyNumberFormat="1" applyFont="1" applyBorder="1" applyAlignment="1">
      <alignment horizontal="center" vertical="center"/>
    </xf>
    <xf numFmtId="0" fontId="0" fillId="0" borderId="31" xfId="0" applyBorder="1"/>
    <xf numFmtId="0" fontId="28" fillId="8" borderId="32" xfId="0" applyFont="1" applyFill="1" applyBorder="1" applyAlignment="1">
      <alignment horizontal="center" vertical="center"/>
    </xf>
    <xf numFmtId="0" fontId="28" fillId="0" borderId="33" xfId="0" applyFont="1" applyBorder="1" applyAlignment="1">
      <alignment horizontal="center" vertical="center"/>
    </xf>
    <xf numFmtId="0" fontId="28" fillId="4" borderId="33" xfId="0" applyFont="1" applyFill="1" applyBorder="1" applyAlignment="1">
      <alignment vertical="center"/>
    </xf>
    <xf numFmtId="0" fontId="31" fillId="4" borderId="33" xfId="0" applyFont="1" applyFill="1" applyBorder="1" applyAlignment="1">
      <alignment horizontal="center" vertical="center" wrapText="1"/>
    </xf>
    <xf numFmtId="0" fontId="28" fillId="4" borderId="34" xfId="0" applyFont="1" applyFill="1" applyBorder="1" applyAlignment="1">
      <alignment horizontal="center" vertical="center"/>
    </xf>
    <xf numFmtId="0" fontId="29" fillId="0" borderId="35" xfId="0" applyFont="1" applyBorder="1" applyAlignment="1">
      <alignment horizontal="left" vertical="center" wrapText="1"/>
    </xf>
    <xf numFmtId="0" fontId="28" fillId="4" borderId="37" xfId="1" applyFont="1" applyFill="1" applyBorder="1" applyAlignment="1">
      <alignment horizontal="left" vertical="center" wrapText="1"/>
    </xf>
    <xf numFmtId="0" fontId="31" fillId="4" borderId="37" xfId="0" applyFont="1" applyFill="1" applyBorder="1" applyAlignment="1">
      <alignment horizontal="center" vertical="center" wrapText="1"/>
    </xf>
    <xf numFmtId="0" fontId="32" fillId="0" borderId="38" xfId="1" applyFont="1" applyBorder="1" applyAlignment="1">
      <alignment horizontal="left" vertical="center"/>
    </xf>
    <xf numFmtId="0" fontId="28" fillId="0" borderId="3" xfId="0" applyFont="1" applyBorder="1" applyAlignment="1">
      <alignment vertical="center" wrapText="1"/>
    </xf>
    <xf numFmtId="20" fontId="28" fillId="0" borderId="11" xfId="1" applyNumberFormat="1" applyFont="1" applyBorder="1" applyAlignment="1">
      <alignment horizontal="left" vertical="center" wrapText="1"/>
    </xf>
    <xf numFmtId="49" fontId="28" fillId="0" borderId="39" xfId="1" applyNumberFormat="1" applyFont="1" applyBorder="1" applyAlignment="1">
      <alignment horizontal="center" vertical="center" wrapText="1"/>
    </xf>
    <xf numFmtId="0" fontId="28" fillId="0" borderId="39" xfId="0" applyFont="1" applyBorder="1" applyAlignment="1">
      <alignment vertical="center"/>
    </xf>
    <xf numFmtId="0" fontId="0" fillId="4" borderId="39" xfId="0" applyFill="1" applyBorder="1"/>
    <xf numFmtId="0" fontId="28" fillId="4" borderId="32" xfId="1" applyFont="1" applyFill="1" applyBorder="1" applyAlignment="1">
      <alignment horizontal="center" vertical="center"/>
    </xf>
    <xf numFmtId="0" fontId="28" fillId="0" borderId="1" xfId="1" applyFont="1" applyBorder="1" applyAlignment="1">
      <alignment vertical="center" wrapText="1"/>
    </xf>
    <xf numFmtId="0" fontId="28" fillId="0" borderId="1" xfId="1" applyFont="1" applyBorder="1" applyAlignment="1">
      <alignment horizontal="left" vertical="center" wrapText="1"/>
    </xf>
    <xf numFmtId="0" fontId="28" fillId="0" borderId="4" xfId="0" applyFont="1" applyBorder="1" applyAlignment="1">
      <alignment horizontal="center" vertical="center"/>
    </xf>
    <xf numFmtId="0" fontId="28" fillId="4" borderId="33" xfId="0" applyFont="1" applyFill="1" applyBorder="1" applyAlignment="1">
      <alignment horizontal="center" vertical="center"/>
    </xf>
    <xf numFmtId="0" fontId="28" fillId="0" borderId="33" xfId="0" applyFont="1" applyBorder="1" applyAlignment="1">
      <alignment vertical="center"/>
    </xf>
    <xf numFmtId="0" fontId="31" fillId="4" borderId="33" xfId="0" applyFont="1" applyFill="1" applyBorder="1" applyAlignment="1">
      <alignment wrapText="1"/>
    </xf>
    <xf numFmtId="0" fontId="28" fillId="0" borderId="1" xfId="0" applyFont="1" applyBorder="1" applyAlignment="1">
      <alignment vertical="center" wrapText="1"/>
    </xf>
    <xf numFmtId="0" fontId="32" fillId="0" borderId="28" xfId="1" applyFont="1" applyBorder="1" applyAlignment="1">
      <alignment horizontal="left" vertical="center"/>
    </xf>
    <xf numFmtId="0" fontId="28" fillId="0" borderId="29" xfId="0" applyFont="1" applyBorder="1" applyAlignment="1">
      <alignment vertical="center" wrapText="1"/>
    </xf>
    <xf numFmtId="20" fontId="28" fillId="0" borderId="30" xfId="1" applyNumberFormat="1" applyFont="1" applyBorder="1" applyAlignment="1">
      <alignment horizontal="left" vertical="center" wrapText="1"/>
    </xf>
    <xf numFmtId="49" fontId="28" fillId="0" borderId="31" xfId="1" applyNumberFormat="1" applyFont="1" applyBorder="1" applyAlignment="1">
      <alignment horizontal="center" vertical="center" wrapText="1"/>
    </xf>
    <xf numFmtId="0" fontId="28" fillId="0" borderId="31" xfId="0" applyFont="1" applyBorder="1" applyAlignment="1">
      <alignment vertical="center"/>
    </xf>
    <xf numFmtId="0" fontId="0" fillId="4" borderId="31" xfId="0" applyFill="1" applyBorder="1"/>
    <xf numFmtId="0" fontId="28" fillId="0" borderId="1" xfId="0" applyFont="1" applyBorder="1" applyAlignment="1">
      <alignment horizontal="left" vertical="center" wrapText="1"/>
    </xf>
    <xf numFmtId="0" fontId="28" fillId="0" borderId="1" xfId="0" applyFont="1" applyBorder="1" applyAlignment="1">
      <alignment horizontal="center" vertical="center"/>
    </xf>
    <xf numFmtId="0" fontId="28" fillId="0" borderId="35" xfId="0" applyFont="1" applyBorder="1" applyAlignment="1">
      <alignment horizontal="left" vertical="center" wrapText="1"/>
    </xf>
    <xf numFmtId="0" fontId="28" fillId="0" borderId="35" xfId="1" applyFont="1" applyBorder="1" applyAlignment="1">
      <alignment horizontal="left" vertical="center" wrapText="1"/>
    </xf>
    <xf numFmtId="0" fontId="28" fillId="0" borderId="35" xfId="0" applyFont="1" applyBorder="1" applyAlignment="1">
      <alignment horizontal="center" vertical="center"/>
    </xf>
    <xf numFmtId="0" fontId="28" fillId="0" borderId="37" xfId="0" applyFont="1" applyBorder="1" applyAlignment="1">
      <alignment horizontal="center" vertical="center"/>
    </xf>
    <xf numFmtId="49" fontId="28" fillId="0" borderId="31" xfId="1" applyNumberFormat="1" applyFont="1" applyBorder="1" applyAlignment="1">
      <alignment horizontal="center" vertical="center"/>
    </xf>
    <xf numFmtId="0" fontId="23" fillId="4" borderId="31" xfId="0" applyFont="1" applyFill="1" applyBorder="1" applyAlignment="1">
      <alignment wrapText="1"/>
    </xf>
    <xf numFmtId="0" fontId="28" fillId="4" borderId="34" xfId="1" applyFont="1" applyFill="1" applyBorder="1" applyAlignment="1">
      <alignment horizontal="center" vertical="center"/>
    </xf>
    <xf numFmtId="0" fontId="28" fillId="0" borderId="36" xfId="1" applyFont="1" applyBorder="1" applyAlignment="1">
      <alignment horizontal="center" vertical="center" wrapText="1"/>
    </xf>
    <xf numFmtId="0" fontId="28" fillId="0" borderId="37" xfId="0" applyFont="1" applyBorder="1" applyAlignment="1">
      <alignment vertical="center"/>
    </xf>
    <xf numFmtId="0" fontId="31" fillId="4" borderId="37" xfId="0" applyFont="1" applyFill="1" applyBorder="1" applyAlignment="1">
      <alignment wrapText="1"/>
    </xf>
    <xf numFmtId="0" fontId="28" fillId="0" borderId="21" xfId="0" applyFont="1" applyBorder="1" applyAlignment="1">
      <alignment horizontal="left" vertical="center" wrapText="1"/>
    </xf>
    <xf numFmtId="0" fontId="28" fillId="0" borderId="21" xfId="1" applyFont="1" applyBorder="1" applyAlignment="1">
      <alignment horizontal="left" vertical="center" wrapText="1"/>
    </xf>
    <xf numFmtId="0" fontId="31" fillId="13" borderId="20" xfId="1" applyFont="1" applyFill="1" applyBorder="1" applyAlignment="1">
      <alignment horizontal="center" vertical="center" wrapText="1"/>
    </xf>
    <xf numFmtId="0" fontId="31" fillId="13" borderId="40" xfId="1" applyFont="1" applyFill="1" applyBorder="1" applyAlignment="1">
      <alignment horizontal="center" vertical="center" wrapText="1"/>
    </xf>
    <xf numFmtId="0" fontId="31" fillId="0" borderId="41" xfId="0" applyFont="1" applyBorder="1" applyAlignment="1">
      <alignment horizontal="center" vertical="center"/>
    </xf>
    <xf numFmtId="0" fontId="23" fillId="0" borderId="3" xfId="0" applyFont="1" applyBorder="1" applyAlignment="1">
      <alignment wrapText="1"/>
    </xf>
    <xf numFmtId="49" fontId="27" fillId="0" borderId="42" xfId="0" applyNumberFormat="1" applyFont="1" applyBorder="1" applyAlignment="1">
      <alignment horizontal="center" vertical="center"/>
    </xf>
    <xf numFmtId="0" fontId="28" fillId="4" borderId="32" xfId="0" applyFont="1" applyFill="1" applyBorder="1" applyAlignment="1">
      <alignment horizontal="center" vertical="center"/>
    </xf>
    <xf numFmtId="0" fontId="28" fillId="4" borderId="1" xfId="0" applyFont="1" applyFill="1" applyBorder="1" applyAlignment="1">
      <alignment vertical="center" wrapText="1"/>
    </xf>
    <xf numFmtId="0" fontId="28" fillId="4" borderId="1" xfId="0" applyFont="1" applyFill="1" applyBorder="1" applyAlignment="1">
      <alignment vertical="center"/>
    </xf>
    <xf numFmtId="0" fontId="28" fillId="4" borderId="4" xfId="0" applyFont="1" applyFill="1" applyBorder="1" applyAlignment="1">
      <alignment horizontal="center" vertical="center"/>
    </xf>
    <xf numFmtId="1" fontId="28" fillId="4" borderId="43" xfId="0" applyNumberFormat="1" applyFont="1" applyFill="1" applyBorder="1" applyAlignment="1">
      <alignment horizontal="center" vertical="center"/>
    </xf>
    <xf numFmtId="0" fontId="28" fillId="4" borderId="33" xfId="0" applyFont="1" applyFill="1" applyBorder="1" applyAlignment="1">
      <alignment horizontal="left" vertical="center"/>
    </xf>
    <xf numFmtId="0" fontId="28" fillId="0" borderId="32" xfId="0" applyFont="1" applyBorder="1" applyAlignment="1">
      <alignment horizontal="center" vertical="center"/>
    </xf>
    <xf numFmtId="0" fontId="28" fillId="0" borderId="1" xfId="0" applyFont="1" applyBorder="1" applyAlignment="1">
      <alignment vertical="center"/>
    </xf>
    <xf numFmtId="1" fontId="33" fillId="4" borderId="43" xfId="0" applyNumberFormat="1" applyFont="1" applyFill="1" applyBorder="1" applyAlignment="1">
      <alignment horizontal="center" vertical="center"/>
    </xf>
    <xf numFmtId="0" fontId="25" fillId="0" borderId="0" xfId="0" applyFont="1" applyAlignment="1">
      <alignment vertical="center"/>
    </xf>
    <xf numFmtId="0" fontId="0" fillId="0" borderId="0" xfId="0" applyAlignment="1">
      <alignment vertical="center"/>
    </xf>
    <xf numFmtId="0" fontId="28" fillId="14" borderId="12" xfId="0" applyFont="1" applyFill="1" applyBorder="1" applyAlignment="1">
      <alignment vertical="center" wrapText="1"/>
    </xf>
    <xf numFmtId="0" fontId="28" fillId="14" borderId="12" xfId="0" applyFont="1" applyFill="1" applyBorder="1" applyAlignment="1">
      <alignment vertical="center"/>
    </xf>
    <xf numFmtId="0" fontId="28" fillId="14" borderId="7" xfId="0" applyFont="1" applyFill="1" applyBorder="1" applyAlignment="1">
      <alignment horizontal="center" vertical="center"/>
    </xf>
    <xf numFmtId="2" fontId="28" fillId="14" borderId="44" xfId="0" applyNumberFormat="1" applyFont="1" applyFill="1" applyBorder="1" applyAlignment="1">
      <alignment horizontal="center" vertical="center"/>
    </xf>
    <xf numFmtId="0" fontId="28" fillId="14" borderId="37" xfId="0" applyFont="1" applyFill="1" applyBorder="1"/>
    <xf numFmtId="0" fontId="28" fillId="14" borderId="33" xfId="0" applyFont="1" applyFill="1" applyBorder="1" applyAlignment="1">
      <alignment vertical="center"/>
    </xf>
    <xf numFmtId="20" fontId="28" fillId="0" borderId="30" xfId="1" applyNumberFormat="1" applyFont="1" applyBorder="1" applyAlignment="1">
      <alignment horizontal="center" vertical="center" wrapText="1"/>
    </xf>
    <xf numFmtId="2" fontId="28" fillId="0" borderId="31" xfId="0" applyNumberFormat="1" applyFont="1" applyBorder="1" applyAlignment="1">
      <alignment horizontal="center" vertical="center" wrapText="1"/>
    </xf>
    <xf numFmtId="0" fontId="31" fillId="0" borderId="31" xfId="0" applyFont="1" applyBorder="1" applyAlignment="1">
      <alignment vertical="center"/>
    </xf>
    <xf numFmtId="0" fontId="34" fillId="0" borderId="31" xfId="0" applyFont="1" applyBorder="1" applyAlignment="1">
      <alignment wrapText="1"/>
    </xf>
    <xf numFmtId="49" fontId="0" fillId="0" borderId="0" xfId="0" applyNumberFormat="1"/>
    <xf numFmtId="0" fontId="28" fillId="0" borderId="34" xfId="1" applyFont="1" applyBorder="1" applyAlignment="1">
      <alignment horizontal="center" vertical="center"/>
    </xf>
    <xf numFmtId="0" fontId="28" fillId="0" borderId="35" xfId="1" applyFont="1" applyBorder="1" applyAlignment="1">
      <alignment vertical="center" wrapText="1"/>
    </xf>
    <xf numFmtId="0" fontId="28" fillId="0" borderId="35" xfId="0" applyFont="1" applyBorder="1" applyAlignment="1">
      <alignment vertical="center" wrapText="1"/>
    </xf>
    <xf numFmtId="0" fontId="28" fillId="4" borderId="36" xfId="0" applyFont="1" applyFill="1" applyBorder="1" applyAlignment="1">
      <alignment horizontal="center" vertical="center"/>
    </xf>
    <xf numFmtId="0" fontId="28" fillId="0" borderId="37" xfId="0" applyFont="1" applyBorder="1"/>
    <xf numFmtId="0" fontId="28" fillId="4" borderId="29" xfId="0" applyFont="1" applyFill="1" applyBorder="1" applyAlignment="1">
      <alignment vertical="center" wrapText="1"/>
    </xf>
    <xf numFmtId="2" fontId="28" fillId="0" borderId="31" xfId="0" applyNumberFormat="1" applyFont="1" applyBorder="1" applyAlignment="1">
      <alignment horizontal="center" vertical="center"/>
    </xf>
    <xf numFmtId="0" fontId="28" fillId="0" borderId="1" xfId="0" applyFont="1" applyBorder="1" applyAlignment="1">
      <alignment horizontal="left" vertical="center"/>
    </xf>
    <xf numFmtId="1" fontId="28" fillId="4" borderId="37" xfId="0" applyNumberFormat="1" applyFont="1" applyFill="1" applyBorder="1" applyAlignment="1">
      <alignment horizontal="center" vertical="center"/>
    </xf>
    <xf numFmtId="0" fontId="28" fillId="4" borderId="37" xfId="0" applyFont="1" applyFill="1" applyBorder="1" applyAlignment="1">
      <alignment vertical="center"/>
    </xf>
    <xf numFmtId="2" fontId="29" fillId="0" borderId="31" xfId="0" applyNumberFormat="1" applyFont="1" applyBorder="1" applyAlignment="1">
      <alignment horizontal="center" vertical="center"/>
    </xf>
    <xf numFmtId="49" fontId="28" fillId="0" borderId="33" xfId="1" applyNumberFormat="1" applyFont="1" applyBorder="1" applyAlignment="1">
      <alignment horizontal="left" vertical="center"/>
    </xf>
    <xf numFmtId="0" fontId="28" fillId="8" borderId="34" xfId="1" applyFont="1" applyFill="1" applyBorder="1" applyAlignment="1">
      <alignment horizontal="center" vertical="center"/>
    </xf>
    <xf numFmtId="49" fontId="28" fillId="4" borderId="37" xfId="1" applyNumberFormat="1" applyFont="1" applyFill="1" applyBorder="1" applyAlignment="1">
      <alignment horizontal="left" vertical="center"/>
    </xf>
    <xf numFmtId="0" fontId="30" fillId="0" borderId="20" xfId="0" applyFont="1" applyBorder="1" applyAlignment="1">
      <alignment horizontal="center" vertical="center"/>
    </xf>
    <xf numFmtId="0" fontId="31" fillId="15" borderId="20" xfId="1" applyFont="1" applyFill="1" applyBorder="1" applyAlignment="1">
      <alignment horizontal="center" vertical="center" wrapText="1"/>
    </xf>
    <xf numFmtId="1" fontId="31" fillId="13" borderId="40" xfId="1" applyNumberFormat="1" applyFont="1" applyFill="1" applyBorder="1" applyAlignment="1">
      <alignment horizontal="center" vertical="center" wrapText="1"/>
    </xf>
    <xf numFmtId="49" fontId="31" fillId="0" borderId="41" xfId="0" applyNumberFormat="1" applyFont="1" applyBorder="1" applyAlignment="1">
      <alignment horizontal="center" vertical="center"/>
    </xf>
    <xf numFmtId="0" fontId="23" fillId="0" borderId="45" xfId="0" applyFont="1" applyBorder="1" applyAlignment="1">
      <alignment wrapText="1"/>
    </xf>
    <xf numFmtId="0" fontId="0" fillId="0" borderId="20" xfId="0" applyBorder="1"/>
    <xf numFmtId="0" fontId="0" fillId="0" borderId="21" xfId="0" applyBorder="1"/>
    <xf numFmtId="0" fontId="0" fillId="0" borderId="21" xfId="0" applyBorder="1" applyAlignment="1">
      <alignment horizontal="center"/>
    </xf>
    <xf numFmtId="0" fontId="0" fillId="0" borderId="46" xfId="0" applyBorder="1"/>
    <xf numFmtId="0" fontId="0" fillId="0" borderId="16" xfId="0" applyBorder="1"/>
    <xf numFmtId="0" fontId="0" fillId="0" borderId="17" xfId="0" applyBorder="1"/>
    <xf numFmtId="0" fontId="0" fillId="0" borderId="17" xfId="0" applyBorder="1" applyAlignment="1">
      <alignment horizontal="center"/>
    </xf>
    <xf numFmtId="0" fontId="0" fillId="0" borderId="23" xfId="0" applyBorder="1"/>
    <xf numFmtId="0" fontId="0" fillId="0" borderId="14" xfId="0" applyBorder="1"/>
    <xf numFmtId="0" fontId="25" fillId="0" borderId="21" xfId="0" applyFont="1" applyBorder="1" applyAlignment="1">
      <alignment horizontal="center"/>
    </xf>
    <xf numFmtId="0" fontId="25" fillId="0" borderId="46" xfId="0" applyFont="1" applyBorder="1"/>
    <xf numFmtId="0" fontId="15" fillId="0" borderId="26" xfId="0" applyFont="1" applyBorder="1"/>
    <xf numFmtId="0" fontId="15" fillId="0" borderId="27" xfId="0" applyFont="1" applyBorder="1" applyAlignment="1">
      <alignment horizontal="center" wrapText="1"/>
    </xf>
    <xf numFmtId="0" fontId="15" fillId="0" borderId="17" xfId="0" applyFont="1" applyBorder="1"/>
    <xf numFmtId="0" fontId="35" fillId="0" borderId="31" xfId="0" applyFont="1" applyBorder="1" applyAlignment="1">
      <alignment horizontal="center" vertical="center" wrapText="1"/>
    </xf>
    <xf numFmtId="0" fontId="15" fillId="0" borderId="49" xfId="0" applyFont="1" applyBorder="1"/>
    <xf numFmtId="0" fontId="24" fillId="0" borderId="50" xfId="0" applyFont="1" applyBorder="1"/>
    <xf numFmtId="0" fontId="28" fillId="8" borderId="32" xfId="1" applyFont="1" applyFill="1" applyBorder="1" applyAlignment="1">
      <alignment horizontal="center" vertical="center"/>
    </xf>
    <xf numFmtId="0" fontId="28" fillId="4" borderId="1" xfId="1" applyFont="1" applyFill="1" applyBorder="1" applyAlignment="1">
      <alignment vertical="center" wrapText="1"/>
    </xf>
    <xf numFmtId="0" fontId="28" fillId="4" borderId="4" xfId="1" applyFont="1" applyFill="1" applyBorder="1" applyAlignment="1">
      <alignment vertical="center" wrapText="1"/>
    </xf>
    <xf numFmtId="0" fontId="28" fillId="4" borderId="33" xfId="1" applyFont="1" applyFill="1" applyBorder="1" applyAlignment="1">
      <alignment horizontal="center" vertical="center" wrapText="1"/>
    </xf>
    <xf numFmtId="0" fontId="28" fillId="4" borderId="10" xfId="1" applyFont="1" applyFill="1" applyBorder="1" applyAlignment="1">
      <alignment vertical="center" wrapText="1"/>
    </xf>
    <xf numFmtId="0" fontId="28" fillId="4" borderId="51" xfId="1" applyFont="1" applyFill="1" applyBorder="1" applyAlignment="1">
      <alignment vertical="center" wrapText="1"/>
    </xf>
    <xf numFmtId="0" fontId="29" fillId="8" borderId="34" xfId="1" applyFont="1" applyFill="1" applyBorder="1" applyAlignment="1">
      <alignment horizontal="center" vertical="center"/>
    </xf>
    <xf numFmtId="0" fontId="28" fillId="4" borderId="35" xfId="1" applyFont="1" applyFill="1" applyBorder="1" applyAlignment="1">
      <alignment vertical="center" wrapText="1"/>
    </xf>
    <xf numFmtId="0" fontId="28" fillId="4" borderId="35" xfId="1" applyFont="1" applyFill="1" applyBorder="1" applyAlignment="1">
      <alignment horizontal="left" vertical="center" wrapText="1"/>
    </xf>
    <xf numFmtId="0" fontId="28" fillId="4" borderId="36" xfId="0" applyFont="1" applyFill="1" applyBorder="1" applyAlignment="1">
      <alignment horizontal="left" vertical="center" wrapText="1"/>
    </xf>
    <xf numFmtId="0" fontId="28" fillId="4" borderId="53" xfId="0" applyFont="1" applyFill="1" applyBorder="1"/>
    <xf numFmtId="0" fontId="32" fillId="4" borderId="28" xfId="1" applyFont="1" applyFill="1" applyBorder="1" applyAlignment="1">
      <alignment horizontal="left" vertical="center"/>
    </xf>
    <xf numFmtId="20" fontId="28" fillId="4" borderId="30" xfId="1" applyNumberFormat="1" applyFont="1" applyFill="1" applyBorder="1" applyAlignment="1">
      <alignment horizontal="center" vertical="center" wrapText="1"/>
    </xf>
    <xf numFmtId="0" fontId="29" fillId="4" borderId="31" xfId="0" applyFont="1" applyFill="1" applyBorder="1" applyAlignment="1">
      <alignment horizontal="center" vertical="center" wrapText="1"/>
    </xf>
    <xf numFmtId="0" fontId="15" fillId="4" borderId="54" xfId="0" applyFont="1" applyFill="1" applyBorder="1"/>
    <xf numFmtId="0" fontId="33" fillId="4" borderId="31" xfId="0" applyFont="1" applyFill="1" applyBorder="1" applyAlignment="1">
      <alignment vertical="center"/>
    </xf>
    <xf numFmtId="0" fontId="29" fillId="4" borderId="32" xfId="1" applyFont="1" applyFill="1" applyBorder="1" applyAlignment="1">
      <alignment horizontal="center" vertical="center"/>
    </xf>
    <xf numFmtId="0" fontId="28" fillId="4" borderId="1" xfId="1" applyFont="1" applyFill="1" applyBorder="1" applyAlignment="1">
      <alignment horizontal="left" vertical="center" wrapText="1"/>
    </xf>
    <xf numFmtId="0" fontId="28" fillId="4" borderId="1" xfId="0" applyFont="1" applyFill="1" applyBorder="1" applyAlignment="1">
      <alignment horizontal="center" vertical="center" wrapText="1"/>
    </xf>
    <xf numFmtId="0" fontId="29" fillId="4" borderId="55" xfId="1" applyFont="1" applyFill="1" applyBorder="1" applyAlignment="1">
      <alignment horizontal="center" vertical="center"/>
    </xf>
    <xf numFmtId="0" fontId="28" fillId="4" borderId="12" xfId="1" applyFont="1" applyFill="1" applyBorder="1" applyAlignment="1">
      <alignment vertical="center" wrapText="1"/>
    </xf>
    <xf numFmtId="0" fontId="28" fillId="4" borderId="12" xfId="1" applyFont="1" applyFill="1" applyBorder="1" applyAlignment="1">
      <alignment horizontal="left" vertical="center" wrapText="1"/>
    </xf>
    <xf numFmtId="0" fontId="28" fillId="4" borderId="12" xfId="0" applyFont="1" applyFill="1" applyBorder="1" applyAlignment="1">
      <alignment horizontal="center" vertical="center"/>
    </xf>
    <xf numFmtId="0" fontId="33" fillId="4" borderId="56" xfId="0" applyFont="1" applyFill="1" applyBorder="1" applyAlignment="1">
      <alignment vertical="center"/>
    </xf>
    <xf numFmtId="0" fontId="29" fillId="4" borderId="34" xfId="1" applyFont="1" applyFill="1" applyBorder="1" applyAlignment="1">
      <alignment horizontal="center" vertical="center"/>
    </xf>
    <xf numFmtId="0" fontId="28" fillId="4" borderId="35" xfId="0" applyFont="1" applyFill="1" applyBorder="1" applyAlignment="1">
      <alignment vertical="center" wrapText="1"/>
    </xf>
    <xf numFmtId="0" fontId="28" fillId="4" borderId="35" xfId="0" applyFont="1" applyFill="1" applyBorder="1" applyAlignment="1">
      <alignment horizontal="center" vertical="center"/>
    </xf>
    <xf numFmtId="0" fontId="28" fillId="4" borderId="57" xfId="0" applyFont="1" applyFill="1" applyBorder="1" applyAlignment="1">
      <alignment vertical="center"/>
    </xf>
    <xf numFmtId="0" fontId="33" fillId="4" borderId="37" xfId="0" applyFont="1" applyFill="1" applyBorder="1" applyAlignment="1">
      <alignment vertical="center"/>
    </xf>
    <xf numFmtId="0" fontId="32" fillId="4" borderId="38" xfId="1" applyFont="1" applyFill="1" applyBorder="1" applyAlignment="1">
      <alignment horizontal="left" vertical="center"/>
    </xf>
    <xf numFmtId="0" fontId="28" fillId="0" borderId="3" xfId="1" applyFont="1" applyBorder="1" applyAlignment="1">
      <alignment vertical="center" wrapText="1"/>
    </xf>
    <xf numFmtId="0" fontId="28" fillId="4" borderId="3" xfId="0" applyFont="1" applyFill="1" applyBorder="1" applyAlignment="1">
      <alignment vertical="center" wrapText="1"/>
    </xf>
    <xf numFmtId="20" fontId="28" fillId="4" borderId="11" xfId="1" applyNumberFormat="1" applyFont="1" applyFill="1" applyBorder="1" applyAlignment="1">
      <alignment horizontal="center" vertical="center" wrapText="1"/>
    </xf>
    <xf numFmtId="0" fontId="29" fillId="4" borderId="39" xfId="0" applyFont="1" applyFill="1" applyBorder="1" applyAlignment="1">
      <alignment horizontal="center" vertical="center" wrapText="1"/>
    </xf>
    <xf numFmtId="0" fontId="15" fillId="4" borderId="58" xfId="0" applyFont="1" applyFill="1" applyBorder="1"/>
    <xf numFmtId="0" fontId="33" fillId="4" borderId="39" xfId="0" applyFont="1" applyFill="1" applyBorder="1" applyAlignment="1">
      <alignment vertical="center"/>
    </xf>
    <xf numFmtId="0" fontId="28" fillId="4" borderId="6" xfId="0" applyFont="1" applyFill="1" applyBorder="1" applyAlignment="1">
      <alignment vertical="center"/>
    </xf>
    <xf numFmtId="0" fontId="33" fillId="4" borderId="33" xfId="0" applyFont="1" applyFill="1" applyBorder="1" applyAlignment="1">
      <alignment vertical="center"/>
    </xf>
    <xf numFmtId="0" fontId="28" fillId="4" borderId="55" xfId="1" applyFont="1" applyFill="1" applyBorder="1" applyAlignment="1">
      <alignment horizontal="center" vertical="center"/>
    </xf>
    <xf numFmtId="0" fontId="28" fillId="0" borderId="12" xfId="0" applyFont="1" applyBorder="1" applyAlignment="1">
      <alignment horizontal="left" vertical="center" wrapText="1"/>
    </xf>
    <xf numFmtId="0" fontId="28" fillId="4" borderId="12" xfId="0" applyFont="1" applyFill="1" applyBorder="1" applyAlignment="1">
      <alignment vertical="center" wrapText="1"/>
    </xf>
    <xf numFmtId="0" fontId="28" fillId="4" borderId="12" xfId="0" applyFont="1" applyFill="1" applyBorder="1" applyAlignment="1">
      <alignment vertical="center"/>
    </xf>
    <xf numFmtId="0" fontId="28" fillId="4" borderId="59" xfId="0" applyFont="1" applyFill="1" applyBorder="1" applyAlignment="1">
      <alignment horizontal="center" vertical="center"/>
    </xf>
    <xf numFmtId="0" fontId="28" fillId="4" borderId="56" xfId="0" applyFont="1" applyFill="1" applyBorder="1" applyAlignment="1">
      <alignment horizontal="center" vertical="center" wrapText="1"/>
    </xf>
    <xf numFmtId="0" fontId="28" fillId="4" borderId="60" xfId="0" applyFont="1" applyFill="1" applyBorder="1" applyAlignment="1">
      <alignment vertical="center"/>
    </xf>
    <xf numFmtId="20" fontId="28" fillId="0" borderId="29" xfId="1" applyNumberFormat="1" applyFont="1" applyBorder="1" applyAlignment="1">
      <alignment horizontal="center" vertical="center" wrapText="1"/>
    </xf>
    <xf numFmtId="0" fontId="29" fillId="0" borderId="29" xfId="0" applyFont="1" applyBorder="1" applyAlignment="1">
      <alignment horizontal="center" vertical="center" wrapText="1"/>
    </xf>
    <xf numFmtId="0" fontId="15" fillId="0" borderId="29" xfId="0" applyFont="1" applyBorder="1"/>
    <xf numFmtId="0" fontId="33" fillId="0" borderId="50" xfId="0" applyFont="1" applyBorder="1" applyAlignment="1">
      <alignment vertical="center"/>
    </xf>
    <xf numFmtId="0" fontId="28" fillId="4" borderId="35" xfId="0" applyFont="1" applyFill="1" applyBorder="1" applyAlignment="1">
      <alignment horizontal="left" vertical="center" wrapText="1"/>
    </xf>
    <xf numFmtId="0" fontId="28" fillId="4" borderId="35" xfId="1" applyFont="1" applyFill="1" applyBorder="1" applyAlignment="1">
      <alignment horizontal="center" vertical="center" wrapText="1"/>
    </xf>
    <xf numFmtId="0" fontId="28" fillId="4" borderId="35" xfId="0" applyFont="1" applyFill="1" applyBorder="1" applyAlignment="1">
      <alignment vertical="center"/>
    </xf>
    <xf numFmtId="0" fontId="28" fillId="4" borderId="53" xfId="0" applyFont="1" applyFill="1" applyBorder="1" applyAlignment="1">
      <alignment vertical="center"/>
    </xf>
    <xf numFmtId="0" fontId="15" fillId="0" borderId="47" xfId="0" applyFont="1" applyBorder="1"/>
    <xf numFmtId="0" fontId="15" fillId="0" borderId="48" xfId="0" applyFont="1" applyBorder="1"/>
    <xf numFmtId="0" fontId="15" fillId="0" borderId="18" xfId="0" applyFont="1" applyBorder="1" applyAlignment="1">
      <alignment horizontal="center" wrapText="1"/>
    </xf>
    <xf numFmtId="0" fontId="15" fillId="0" borderId="13" xfId="0" applyFont="1" applyBorder="1"/>
    <xf numFmtId="0" fontId="15" fillId="0" borderId="30" xfId="0" applyFont="1" applyBorder="1"/>
    <xf numFmtId="0" fontId="28" fillId="4" borderId="33" xfId="0" applyFont="1" applyFill="1" applyBorder="1"/>
    <xf numFmtId="0" fontId="28" fillId="4" borderId="43" xfId="0" applyFont="1" applyFill="1" applyBorder="1" applyAlignment="1">
      <alignment horizontal="center" vertical="center"/>
    </xf>
    <xf numFmtId="0" fontId="28" fillId="4" borderId="61" xfId="0" applyFont="1" applyFill="1" applyBorder="1" applyAlignment="1">
      <alignment horizontal="center" vertical="center"/>
    </xf>
    <xf numFmtId="0" fontId="28" fillId="4" borderId="37" xfId="0" applyFont="1" applyFill="1" applyBorder="1" applyAlignment="1">
      <alignment horizontal="left" vertical="center"/>
    </xf>
    <xf numFmtId="20" fontId="28" fillId="0" borderId="11" xfId="1" applyNumberFormat="1" applyFont="1" applyBorder="1" applyAlignment="1">
      <alignment horizontal="center" vertical="center" wrapText="1"/>
    </xf>
    <xf numFmtId="49" fontId="28" fillId="0" borderId="62" xfId="1" applyNumberFormat="1" applyFont="1" applyBorder="1" applyAlignment="1">
      <alignment horizontal="center" vertical="center" wrapText="1"/>
    </xf>
    <xf numFmtId="0" fontId="34" fillId="0" borderId="39" xfId="0" applyFont="1" applyBorder="1" applyAlignment="1">
      <alignment wrapText="1"/>
    </xf>
    <xf numFmtId="0" fontId="0" fillId="4" borderId="33" xfId="0" applyFill="1" applyBorder="1"/>
    <xf numFmtId="0" fontId="0" fillId="4" borderId="37" xfId="0" applyFill="1" applyBorder="1"/>
    <xf numFmtId="0" fontId="28" fillId="0" borderId="29" xfId="1" applyFont="1" applyBorder="1" applyAlignment="1">
      <alignment vertical="center" wrapText="1"/>
    </xf>
    <xf numFmtId="49" fontId="28" fillId="0" borderId="42" xfId="1" applyNumberFormat="1" applyFont="1" applyBorder="1" applyAlignment="1">
      <alignment horizontal="center" vertical="center" wrapText="1"/>
    </xf>
    <xf numFmtId="20" fontId="28" fillId="0" borderId="31" xfId="1" applyNumberFormat="1" applyFont="1" applyBorder="1" applyAlignment="1">
      <alignment horizontal="left" vertical="center" wrapText="1"/>
    </xf>
    <xf numFmtId="0" fontId="30" fillId="4" borderId="55" xfId="0" applyFont="1" applyFill="1" applyBorder="1" applyAlignment="1">
      <alignment horizontal="center" vertical="center"/>
    </xf>
    <xf numFmtId="0" fontId="28" fillId="0" borderId="2" xfId="1" applyFont="1" applyBorder="1" applyAlignment="1">
      <alignment vertical="center" wrapText="1"/>
    </xf>
    <xf numFmtId="0" fontId="28" fillId="0" borderId="2" xfId="0" applyFont="1" applyBorder="1" applyAlignment="1">
      <alignment vertical="center" wrapText="1"/>
    </xf>
    <xf numFmtId="20" fontId="28" fillId="0" borderId="2" xfId="1" applyNumberFormat="1" applyFont="1" applyBorder="1" applyAlignment="1">
      <alignment horizontal="center" vertical="center" wrapText="1"/>
    </xf>
    <xf numFmtId="0" fontId="28" fillId="0" borderId="56" xfId="0" applyFont="1" applyBorder="1" applyAlignment="1">
      <alignment vertical="center"/>
    </xf>
    <xf numFmtId="0" fontId="30" fillId="0" borderId="42" xfId="0" applyFont="1" applyBorder="1" applyAlignment="1">
      <alignment horizontal="center" vertical="center"/>
    </xf>
    <xf numFmtId="0" fontId="23" fillId="0" borderId="31" xfId="0" applyFont="1" applyBorder="1" applyAlignment="1">
      <alignment wrapText="1"/>
    </xf>
    <xf numFmtId="0" fontId="28" fillId="4" borderId="1" xfId="0" applyFont="1" applyFill="1" applyBorder="1" applyAlignment="1">
      <alignment wrapText="1"/>
    </xf>
    <xf numFmtId="49" fontId="28" fillId="4" borderId="43" xfId="1" applyNumberFormat="1" applyFont="1" applyFill="1" applyBorder="1" applyAlignment="1">
      <alignment horizontal="center" vertical="center" wrapText="1"/>
    </xf>
    <xf numFmtId="49" fontId="28" fillId="4" borderId="33" xfId="1" applyNumberFormat="1" applyFont="1" applyFill="1" applyBorder="1" applyAlignment="1">
      <alignment horizontal="left" vertical="center"/>
    </xf>
    <xf numFmtId="0" fontId="28" fillId="4" borderId="61" xfId="0" applyFont="1" applyFill="1" applyBorder="1" applyAlignment="1">
      <alignment horizontal="center" vertical="center" wrapText="1"/>
    </xf>
    <xf numFmtId="0" fontId="23" fillId="4" borderId="37" xfId="0" applyFont="1" applyFill="1" applyBorder="1" applyAlignment="1">
      <alignment wrapText="1"/>
    </xf>
    <xf numFmtId="49" fontId="31" fillId="15" borderId="40" xfId="1" applyNumberFormat="1" applyFont="1" applyFill="1" applyBorder="1" applyAlignment="1">
      <alignment horizontal="center" vertical="center" wrapText="1"/>
    </xf>
    <xf numFmtId="0" fontId="29" fillId="0" borderId="63" xfId="1" applyFont="1" applyBorder="1" applyAlignment="1">
      <alignment horizontal="center" vertical="center"/>
    </xf>
    <xf numFmtId="0" fontId="28" fillId="0" borderId="0" xfId="0" applyFont="1" applyAlignment="1">
      <alignment horizontal="left" vertical="center" wrapText="1"/>
    </xf>
    <xf numFmtId="0" fontId="28" fillId="0" borderId="0" xfId="1" applyFont="1" applyAlignment="1">
      <alignment horizontal="left" vertical="center" wrapText="1"/>
    </xf>
    <xf numFmtId="0" fontId="28" fillId="0" borderId="0" xfId="1" applyFont="1" applyAlignment="1">
      <alignment horizontal="center" vertical="center" wrapText="1"/>
    </xf>
    <xf numFmtId="0" fontId="28" fillId="0" borderId="0" xfId="0" applyFont="1" applyAlignment="1">
      <alignment vertical="center"/>
    </xf>
    <xf numFmtId="0" fontId="31" fillId="0" borderId="22" xfId="0" applyFont="1" applyBorder="1" applyAlignment="1">
      <alignment wrapText="1"/>
    </xf>
    <xf numFmtId="0" fontId="25" fillId="0" borderId="15" xfId="0" applyFont="1" applyBorder="1"/>
    <xf numFmtId="0" fontId="36" fillId="0" borderId="0" xfId="0" applyFont="1" applyAlignment="1">
      <alignment horizontal="center" vertical="center"/>
    </xf>
    <xf numFmtId="0" fontId="7" fillId="0" borderId="63" xfId="0" applyFont="1" applyBorder="1"/>
    <xf numFmtId="0" fontId="23" fillId="0" borderId="22" xfId="0" applyFont="1" applyBorder="1"/>
    <xf numFmtId="0" fontId="0" fillId="0" borderId="54" xfId="0" applyBorder="1"/>
    <xf numFmtId="0" fontId="28" fillId="0" borderId="1" xfId="0" applyFont="1" applyBorder="1" applyAlignment="1">
      <alignment horizontal="center" vertical="center" wrapText="1"/>
    </xf>
    <xf numFmtId="0" fontId="28" fillId="4" borderId="1" xfId="0" applyFont="1" applyFill="1" applyBorder="1" applyAlignment="1">
      <alignment horizontal="center" vertical="center"/>
    </xf>
    <xf numFmtId="0" fontId="28" fillId="4" borderId="6" xfId="0" applyFont="1" applyFill="1" applyBorder="1" applyAlignment="1">
      <alignment vertical="center" wrapText="1"/>
    </xf>
    <xf numFmtId="0" fontId="28" fillId="4" borderId="37" xfId="0" applyFont="1" applyFill="1" applyBorder="1" applyAlignment="1">
      <alignment horizontal="center" vertical="center"/>
    </xf>
    <xf numFmtId="0" fontId="28" fillId="4" borderId="46" xfId="0" applyFont="1" applyFill="1" applyBorder="1" applyAlignment="1">
      <alignment horizontal="left" vertical="center"/>
    </xf>
    <xf numFmtId="0" fontId="28" fillId="0" borderId="29" xfId="0" applyFont="1" applyBorder="1" applyAlignment="1">
      <alignment horizontal="left" vertical="center" wrapText="1"/>
    </xf>
    <xf numFmtId="0" fontId="28" fillId="0" borderId="31" xfId="0" applyFont="1" applyBorder="1"/>
    <xf numFmtId="0" fontId="28" fillId="4" borderId="4" xfId="0" applyFont="1" applyFill="1" applyBorder="1" applyAlignment="1">
      <alignment horizontal="left" vertical="center"/>
    </xf>
    <xf numFmtId="0" fontId="28" fillId="4" borderId="36" xfId="0" applyFont="1" applyFill="1" applyBorder="1" applyAlignment="1">
      <alignment horizontal="left" vertical="center"/>
    </xf>
    <xf numFmtId="20" fontId="28" fillId="4" borderId="37" xfId="1" applyNumberFormat="1" applyFont="1" applyFill="1" applyBorder="1" applyAlignment="1">
      <alignment horizontal="left" vertical="center" wrapText="1"/>
    </xf>
    <xf numFmtId="0" fontId="28" fillId="4" borderId="37" xfId="0" applyFont="1" applyFill="1" applyBorder="1"/>
    <xf numFmtId="0" fontId="28" fillId="0" borderId="36" xfId="0" applyFont="1" applyBorder="1" applyAlignment="1">
      <alignment horizontal="left" vertical="center"/>
    </xf>
    <xf numFmtId="49" fontId="28" fillId="0" borderId="37" xfId="0" applyNumberFormat="1" applyFont="1" applyBorder="1" applyAlignment="1">
      <alignment horizontal="center" vertical="center"/>
    </xf>
    <xf numFmtId="0" fontId="31" fillId="0" borderId="37" xfId="0" applyFont="1" applyBorder="1" applyAlignment="1">
      <alignment vertical="center"/>
    </xf>
    <xf numFmtId="0" fontId="31" fillId="0" borderId="37" xfId="0" applyFont="1" applyBorder="1" applyAlignment="1">
      <alignment wrapText="1"/>
    </xf>
    <xf numFmtId="0" fontId="32" fillId="4" borderId="42" xfId="1" applyFont="1" applyFill="1" applyBorder="1" applyAlignment="1">
      <alignment horizontal="left" vertical="center"/>
    </xf>
    <xf numFmtId="0" fontId="28" fillId="0" borderId="28" xfId="0" applyFont="1" applyBorder="1" applyAlignment="1">
      <alignment vertical="center" wrapText="1"/>
    </xf>
    <xf numFmtId="0" fontId="28" fillId="0" borderId="30" xfId="0" applyFont="1" applyBorder="1" applyAlignment="1">
      <alignment horizontal="left" vertical="center"/>
    </xf>
    <xf numFmtId="49" fontId="28" fillId="0" borderId="31" xfId="0" applyNumberFormat="1" applyFont="1" applyBorder="1" applyAlignment="1">
      <alignment horizontal="center" vertical="center"/>
    </xf>
    <xf numFmtId="0" fontId="31" fillId="0" borderId="31" xfId="0" applyFont="1" applyBorder="1" applyAlignment="1">
      <alignment wrapText="1"/>
    </xf>
    <xf numFmtId="0" fontId="28" fillId="0" borderId="64" xfId="0" applyFont="1" applyBorder="1" applyAlignment="1">
      <alignment horizontal="left" vertical="center" wrapText="1"/>
    </xf>
    <xf numFmtId="0" fontId="28" fillId="0" borderId="64" xfId="1" applyFont="1" applyBorder="1" applyAlignment="1">
      <alignment horizontal="left" vertical="center" wrapText="1"/>
    </xf>
    <xf numFmtId="0" fontId="28" fillId="4" borderId="45" xfId="1" applyFont="1" applyFill="1" applyBorder="1" applyAlignment="1">
      <alignment horizontal="center" vertical="center" wrapText="1"/>
    </xf>
    <xf numFmtId="0" fontId="28" fillId="4" borderId="37" xfId="0" applyFont="1" applyFill="1" applyBorder="1" applyAlignment="1">
      <alignment wrapText="1"/>
    </xf>
    <xf numFmtId="0" fontId="15" fillId="0" borderId="29" xfId="0" applyFont="1" applyBorder="1" applyAlignment="1">
      <alignment vertical="center"/>
    </xf>
    <xf numFmtId="0" fontId="15" fillId="0" borderId="30" xfId="0" applyFont="1" applyBorder="1" applyAlignment="1">
      <alignment vertical="center"/>
    </xf>
    <xf numFmtId="49" fontId="15" fillId="0" borderId="31" xfId="0" applyNumberFormat="1" applyFont="1" applyBorder="1" applyAlignment="1">
      <alignment horizontal="center" vertical="center"/>
    </xf>
    <xf numFmtId="0" fontId="28" fillId="4" borderId="4" xfId="0" applyFont="1" applyFill="1" applyBorder="1" applyAlignment="1">
      <alignment vertical="center"/>
    </xf>
    <xf numFmtId="1" fontId="28" fillId="4" borderId="33" xfId="0" applyNumberFormat="1" applyFont="1" applyFill="1" applyBorder="1" applyAlignment="1">
      <alignment horizontal="center" vertical="center"/>
    </xf>
    <xf numFmtId="0" fontId="28" fillId="4" borderId="10" xfId="0" applyFont="1" applyFill="1" applyBorder="1" applyAlignment="1">
      <alignment vertical="center"/>
    </xf>
    <xf numFmtId="0" fontId="28" fillId="0" borderId="51" xfId="0" applyFont="1" applyBorder="1" applyAlignment="1">
      <alignment vertical="center"/>
    </xf>
    <xf numFmtId="0" fontId="28" fillId="4" borderId="36" xfId="0" applyFont="1" applyFill="1" applyBorder="1" applyAlignment="1">
      <alignment vertical="center"/>
    </xf>
    <xf numFmtId="0" fontId="28" fillId="4" borderId="52" xfId="0" applyFont="1" applyFill="1" applyBorder="1" applyAlignment="1">
      <alignment vertical="center"/>
    </xf>
    <xf numFmtId="0" fontId="0" fillId="0" borderId="53" xfId="0" applyBorder="1"/>
    <xf numFmtId="0" fontId="37" fillId="0" borderId="3" xfId="0" applyFont="1" applyBorder="1" applyAlignment="1">
      <alignment vertical="center" wrapText="1"/>
    </xf>
    <xf numFmtId="20" fontId="37" fillId="0" borderId="11" xfId="1" applyNumberFormat="1" applyFont="1" applyBorder="1" applyAlignment="1">
      <alignment vertical="center" wrapText="1"/>
    </xf>
    <xf numFmtId="2" fontId="37" fillId="0" borderId="39" xfId="1" applyNumberFormat="1" applyFont="1" applyBorder="1" applyAlignment="1">
      <alignment horizontal="center" vertical="center" wrapText="1"/>
    </xf>
    <xf numFmtId="0" fontId="28" fillId="0" borderId="39" xfId="0" applyFont="1" applyBorder="1"/>
    <xf numFmtId="0" fontId="0" fillId="0" borderId="39" xfId="0" applyBorder="1"/>
    <xf numFmtId="0" fontId="28" fillId="0" borderId="65" xfId="1" applyFont="1" applyBorder="1" applyAlignment="1">
      <alignment horizontal="center" vertical="center"/>
    </xf>
    <xf numFmtId="1" fontId="28" fillId="0" borderId="66" xfId="1" applyNumberFormat="1" applyFont="1" applyBorder="1" applyAlignment="1">
      <alignment horizontal="center" vertical="center" wrapText="1"/>
    </xf>
    <xf numFmtId="0" fontId="28" fillId="0" borderId="66" xfId="0" applyFont="1" applyBorder="1"/>
    <xf numFmtId="0" fontId="29" fillId="0" borderId="39" xfId="0" applyFont="1" applyBorder="1"/>
    <xf numFmtId="2" fontId="28" fillId="0" borderId="31" xfId="1" applyNumberFormat="1" applyFont="1" applyBorder="1" applyAlignment="1">
      <alignment horizontal="center" vertical="center" wrapText="1"/>
    </xf>
    <xf numFmtId="0" fontId="29" fillId="0" borderId="34" xfId="1" applyFont="1" applyBorder="1" applyAlignment="1">
      <alignment horizontal="center" vertical="center"/>
    </xf>
    <xf numFmtId="0" fontId="28" fillId="0" borderId="36" xfId="0" applyFont="1" applyBorder="1" applyAlignment="1">
      <alignment horizontal="center" vertical="center"/>
    </xf>
    <xf numFmtId="2" fontId="28" fillId="0" borderId="37" xfId="0" applyNumberFormat="1" applyFont="1" applyBorder="1" applyAlignment="1">
      <alignment horizontal="center" vertical="center"/>
    </xf>
    <xf numFmtId="0" fontId="23" fillId="0" borderId="37" xfId="0" applyFont="1" applyBorder="1" applyAlignment="1">
      <alignment wrapText="1"/>
    </xf>
    <xf numFmtId="0" fontId="28" fillId="0" borderId="30" xfId="0" applyFont="1" applyBorder="1" applyAlignment="1">
      <alignment horizontal="center" vertical="center"/>
    </xf>
    <xf numFmtId="0" fontId="28" fillId="0" borderId="36" xfId="1" applyFont="1" applyBorder="1" applyAlignment="1">
      <alignment vertical="center" wrapText="1"/>
    </xf>
    <xf numFmtId="1" fontId="28" fillId="0" borderId="37" xfId="1" applyNumberFormat="1" applyFont="1" applyBorder="1" applyAlignment="1">
      <alignment horizontal="center" vertical="center" wrapText="1"/>
    </xf>
    <xf numFmtId="1" fontId="31" fillId="15" borderId="40" xfId="1" applyNumberFormat="1" applyFont="1" applyFill="1" applyBorder="1" applyAlignment="1">
      <alignment horizontal="center" vertical="center" wrapText="1"/>
    </xf>
    <xf numFmtId="0" fontId="38" fillId="0" borderId="35" xfId="0" applyFont="1" applyBorder="1" applyAlignment="1">
      <alignment vertical="center" wrapText="1"/>
    </xf>
    <xf numFmtId="1" fontId="38" fillId="4" borderId="37" xfId="0" applyNumberFormat="1" applyFont="1" applyFill="1" applyBorder="1" applyAlignment="1">
      <alignment horizontal="center" vertical="center"/>
    </xf>
    <xf numFmtId="0" fontId="38" fillId="4" borderId="37" xfId="0" applyFont="1" applyFill="1" applyBorder="1" applyAlignment="1">
      <alignment vertical="center"/>
    </xf>
    <xf numFmtId="0" fontId="38" fillId="4" borderId="35" xfId="1" applyFont="1" applyFill="1" applyBorder="1" applyAlignment="1">
      <alignment vertical="center" wrapText="1"/>
    </xf>
    <xf numFmtId="0" fontId="38" fillId="4" borderId="35" xfId="0" applyFont="1" applyFill="1" applyBorder="1" applyAlignment="1">
      <alignment vertical="center" wrapText="1"/>
    </xf>
    <xf numFmtId="0" fontId="38" fillId="4" borderId="61" xfId="0" applyFont="1" applyFill="1" applyBorder="1" applyAlignment="1">
      <alignment horizontal="center" vertical="center"/>
    </xf>
    <xf numFmtId="0" fontId="38" fillId="4" borderId="36" xfId="0" applyFont="1" applyFill="1" applyBorder="1" applyAlignment="1">
      <alignment horizontal="center" vertical="center"/>
    </xf>
    <xf numFmtId="20" fontId="38" fillId="4" borderId="37" xfId="1" applyNumberFormat="1" applyFont="1" applyFill="1" applyBorder="1" applyAlignment="1">
      <alignment horizontal="left" vertical="center" wrapText="1"/>
    </xf>
    <xf numFmtId="0" fontId="38" fillId="0" borderId="35" xfId="0" applyFont="1" applyBorder="1" applyAlignment="1">
      <alignment horizontal="left" vertical="center"/>
    </xf>
    <xf numFmtId="0" fontId="28" fillId="0" borderId="35" xfId="0" applyFont="1" applyBorder="1" applyAlignment="1">
      <alignment vertical="center"/>
    </xf>
    <xf numFmtId="0" fontId="28" fillId="0" borderId="37" xfId="0" applyFont="1" applyBorder="1" applyAlignment="1">
      <alignment horizontal="center" vertical="center" wrapText="1"/>
    </xf>
    <xf numFmtId="0" fontId="33" fillId="4" borderId="33" xfId="0" applyFont="1" applyFill="1" applyBorder="1" applyAlignment="1">
      <alignment wrapText="1"/>
    </xf>
    <xf numFmtId="0" fontId="28" fillId="4" borderId="37" xfId="0" applyFont="1" applyFill="1" applyBorder="1" applyAlignment="1">
      <alignment horizontal="center" vertical="center" wrapText="1"/>
    </xf>
    <xf numFmtId="0" fontId="28" fillId="4" borderId="52" xfId="0" applyFont="1" applyFill="1" applyBorder="1"/>
    <xf numFmtId="0" fontId="28" fillId="4" borderId="33" xfId="0" applyFont="1" applyFill="1" applyBorder="1" applyAlignment="1">
      <alignment horizontal="center" vertical="center" wrapText="1"/>
    </xf>
    <xf numFmtId="0" fontId="28" fillId="4" borderId="35" xfId="0" applyFont="1" applyFill="1" applyBorder="1" applyAlignment="1">
      <alignment horizontal="center" vertical="center" wrapText="1"/>
    </xf>
    <xf numFmtId="0" fontId="28" fillId="0" borderId="44" xfId="0" applyFont="1" applyBorder="1" applyAlignment="1">
      <alignment horizontal="center" vertical="center"/>
    </xf>
    <xf numFmtId="0" fontId="28" fillId="4" borderId="1" xfId="0" applyFont="1" applyFill="1" applyBorder="1" applyAlignment="1">
      <alignment horizontal="left" vertical="center" wrapText="1"/>
    </xf>
    <xf numFmtId="1" fontId="28" fillId="0" borderId="33" xfId="1" applyNumberFormat="1" applyFont="1" applyBorder="1" applyAlignment="1">
      <alignment horizontal="center" vertical="center" wrapText="1"/>
    </xf>
    <xf numFmtId="1" fontId="28" fillId="4" borderId="37" xfId="1" applyNumberFormat="1" applyFont="1" applyFill="1" applyBorder="1" applyAlignment="1">
      <alignment horizontal="center" vertical="center" wrapText="1"/>
    </xf>
    <xf numFmtId="0" fontId="31" fillId="4" borderId="37" xfId="0" applyFont="1" applyFill="1" applyBorder="1" applyAlignment="1">
      <alignment horizontal="center" vertical="center"/>
    </xf>
    <xf numFmtId="1" fontId="31" fillId="4" borderId="37" xfId="0" applyNumberFormat="1" applyFont="1" applyFill="1" applyBorder="1" applyAlignment="1">
      <alignment horizontal="center" vertical="center"/>
    </xf>
    <xf numFmtId="0" fontId="31" fillId="4" borderId="43" xfId="0" applyFont="1" applyFill="1" applyBorder="1" applyAlignment="1">
      <alignment horizontal="center" vertical="center"/>
    </xf>
    <xf numFmtId="0" fontId="31" fillId="4" borderId="56" xfId="0" applyFont="1" applyFill="1" applyBorder="1" applyAlignment="1">
      <alignment horizontal="center" vertical="center" wrapText="1"/>
    </xf>
    <xf numFmtId="0" fontId="4" fillId="4" borderId="3" xfId="0" applyFont="1" applyFill="1" applyBorder="1" applyAlignment="1">
      <alignment horizontal="left" vertical="center" wrapText="1"/>
    </xf>
    <xf numFmtId="0" fontId="4" fillId="4" borderId="3" xfId="0" applyFont="1" applyFill="1" applyBorder="1" applyAlignment="1">
      <alignment horizontal="left" vertical="center"/>
    </xf>
    <xf numFmtId="0" fontId="4" fillId="0" borderId="3" xfId="0" applyFont="1" applyBorder="1" applyAlignment="1">
      <alignment vertical="center"/>
    </xf>
    <xf numFmtId="0" fontId="28" fillId="4" borderId="33" xfId="0" applyFont="1" applyFill="1" applyBorder="1" applyAlignment="1">
      <alignment horizontal="left" vertical="center" wrapText="1"/>
    </xf>
    <xf numFmtId="0" fontId="7" fillId="9" borderId="4" xfId="0" applyFont="1" applyFill="1" applyBorder="1" applyAlignment="1">
      <alignment horizontal="left" vertical="center"/>
    </xf>
    <xf numFmtId="0" fontId="0" fillId="9" borderId="5" xfId="0" applyFill="1" applyBorder="1" applyAlignment="1">
      <alignment vertical="center"/>
    </xf>
    <xf numFmtId="0" fontId="0" fillId="9" borderId="6" xfId="0" applyFill="1" applyBorder="1" applyAlignment="1">
      <alignment vertical="center"/>
    </xf>
    <xf numFmtId="0" fontId="4" fillId="9" borderId="1" xfId="0" applyFont="1" applyFill="1" applyBorder="1" applyAlignment="1">
      <alignment horizontal="center" vertical="center"/>
    </xf>
    <xf numFmtId="0" fontId="4" fillId="9" borderId="1" xfId="0" applyFont="1" applyFill="1" applyBorder="1" applyAlignment="1">
      <alignment horizontal="center" vertical="center" wrapText="1"/>
    </xf>
    <xf numFmtId="0" fontId="4" fillId="9" borderId="1" xfId="0" applyFont="1" applyFill="1" applyBorder="1" applyAlignment="1">
      <alignment vertical="center"/>
    </xf>
    <xf numFmtId="0" fontId="9" fillId="4" borderId="1" xfId="0" applyFont="1" applyFill="1" applyBorder="1" applyAlignment="1">
      <alignment horizontal="center" vertical="center" wrapText="1"/>
    </xf>
    <xf numFmtId="0" fontId="4" fillId="0" borderId="1" xfId="0" applyFont="1" applyBorder="1" applyAlignment="1">
      <alignment wrapText="1"/>
    </xf>
    <xf numFmtId="0" fontId="4" fillId="4" borderId="29" xfId="0" applyFont="1" applyFill="1" applyBorder="1" applyAlignment="1">
      <alignment vertical="center"/>
    </xf>
    <xf numFmtId="0" fontId="3" fillId="0" borderId="1" xfId="0" applyFont="1" applyBorder="1" applyAlignment="1">
      <alignment vertical="center"/>
    </xf>
    <xf numFmtId="0" fontId="7" fillId="4" borderId="1" xfId="0" applyFont="1" applyFill="1" applyBorder="1" applyAlignment="1">
      <alignment horizontal="left" vertical="center"/>
    </xf>
    <xf numFmtId="0" fontId="40" fillId="0" borderId="1" xfId="0" applyFont="1" applyBorder="1" applyAlignment="1">
      <alignment horizontal="center" vertical="center" wrapText="1"/>
    </xf>
    <xf numFmtId="0" fontId="4" fillId="4" borderId="4" xfId="0" applyFont="1" applyFill="1" applyBorder="1" applyAlignment="1">
      <alignment horizontal="center" vertical="center"/>
    </xf>
    <xf numFmtId="0" fontId="4" fillId="0" borderId="30" xfId="0" applyFont="1" applyBorder="1" applyAlignment="1">
      <alignment vertical="center" wrapText="1"/>
    </xf>
    <xf numFmtId="0" fontId="17" fillId="4" borderId="1" xfId="0" applyFont="1" applyFill="1" applyBorder="1" applyAlignment="1">
      <alignment horizontal="left" vertical="center"/>
    </xf>
    <xf numFmtId="0" fontId="4" fillId="0" borderId="12" xfId="0" applyFont="1" applyBorder="1" applyAlignment="1">
      <alignment horizontal="center"/>
    </xf>
    <xf numFmtId="0" fontId="3" fillId="5" borderId="12" xfId="0" applyFont="1" applyFill="1" applyBorder="1" applyAlignment="1">
      <alignment horizontal="left"/>
    </xf>
    <xf numFmtId="0" fontId="3" fillId="5" borderId="12" xfId="0" applyFont="1" applyFill="1" applyBorder="1" applyAlignment="1">
      <alignment horizontal="center"/>
    </xf>
    <xf numFmtId="0" fontId="3" fillId="5" borderId="12" xfId="0" applyFont="1" applyFill="1" applyBorder="1" applyAlignment="1">
      <alignment horizontal="center" wrapText="1"/>
    </xf>
    <xf numFmtId="0" fontId="3" fillId="6" borderId="12" xfId="0" applyFont="1" applyFill="1" applyBorder="1" applyAlignment="1">
      <alignment horizontal="center" vertical="center"/>
    </xf>
    <xf numFmtId="0" fontId="4" fillId="5" borderId="12" xfId="0" applyFont="1" applyFill="1" applyBorder="1" applyAlignment="1">
      <alignment horizontal="center"/>
    </xf>
    <xf numFmtId="0" fontId="4" fillId="5" borderId="12" xfId="0" applyFont="1" applyFill="1" applyBorder="1" applyAlignment="1">
      <alignment horizontal="center" wrapText="1"/>
    </xf>
    <xf numFmtId="0" fontId="42" fillId="0" borderId="3" xfId="0" applyFont="1" applyBorder="1"/>
    <xf numFmtId="0" fontId="4" fillId="5" borderId="12" xfId="0" applyFont="1" applyFill="1" applyBorder="1" applyAlignment="1">
      <alignment horizontal="left"/>
    </xf>
    <xf numFmtId="0" fontId="9" fillId="7" borderId="12" xfId="0" applyFont="1" applyFill="1" applyBorder="1" applyAlignment="1">
      <alignment horizontal="center"/>
    </xf>
    <xf numFmtId="0" fontId="4" fillId="4" borderId="0" xfId="0" applyFont="1" applyFill="1" applyAlignment="1">
      <alignment vertical="center"/>
    </xf>
    <xf numFmtId="0" fontId="9" fillId="4" borderId="1" xfId="0" applyFont="1" applyFill="1" applyBorder="1" applyAlignment="1">
      <alignment horizontal="center" vertical="center"/>
    </xf>
    <xf numFmtId="0" fontId="4" fillId="4" borderId="7" xfId="0" applyFont="1" applyFill="1" applyBorder="1" applyAlignment="1">
      <alignment horizontal="center" vertical="center"/>
    </xf>
    <xf numFmtId="0" fontId="17" fillId="0" borderId="1" xfId="0" applyFont="1" applyBorder="1" applyAlignment="1">
      <alignment horizontal="left" vertical="center"/>
    </xf>
    <xf numFmtId="0" fontId="17" fillId="0" borderId="1" xfId="0" applyFont="1" applyBorder="1" applyAlignment="1">
      <alignment horizontal="left" vertical="center" wrapText="1"/>
    </xf>
    <xf numFmtId="0" fontId="45" fillId="0" borderId="1" xfId="0" applyFont="1" applyBorder="1" applyAlignment="1">
      <alignment vertical="center"/>
    </xf>
    <xf numFmtId="0" fontId="45" fillId="4" borderId="1" xfId="0" applyFont="1" applyFill="1" applyBorder="1" applyAlignment="1">
      <alignment horizontal="center" vertical="center"/>
    </xf>
    <xf numFmtId="0" fontId="46" fillId="0" borderId="1" xfId="0" applyFont="1" applyBorder="1" applyAlignment="1">
      <alignment horizontal="center" vertical="center"/>
    </xf>
    <xf numFmtId="0" fontId="45" fillId="0" borderId="1" xfId="0" applyFont="1" applyBorder="1" applyAlignment="1">
      <alignment horizontal="center" vertical="center"/>
    </xf>
    <xf numFmtId="0" fontId="46" fillId="0" borderId="1" xfId="0" applyFont="1" applyBorder="1" applyAlignment="1">
      <alignment vertical="center" wrapText="1"/>
    </xf>
    <xf numFmtId="0" fontId="7" fillId="4" borderId="4" xfId="0" applyFont="1" applyFill="1" applyBorder="1" applyAlignment="1">
      <alignment horizontal="left" vertical="center"/>
    </xf>
    <xf numFmtId="0" fontId="7" fillId="4" borderId="5" xfId="0" applyFont="1" applyFill="1" applyBorder="1" applyAlignment="1">
      <alignment horizontal="left" vertical="center"/>
    </xf>
    <xf numFmtId="0" fontId="7" fillId="4" borderId="10" xfId="0" applyFont="1" applyFill="1" applyBorder="1" applyAlignment="1">
      <alignment horizontal="left" vertical="center"/>
    </xf>
    <xf numFmtId="0" fontId="7" fillId="4" borderId="1" xfId="0" applyFont="1" applyFill="1" applyBorder="1" applyAlignment="1">
      <alignment horizontal="left"/>
    </xf>
    <xf numFmtId="0" fontId="2" fillId="2" borderId="4" xfId="0" applyFont="1" applyFill="1" applyBorder="1" applyAlignment="1">
      <alignment horizontal="left" vertical="center"/>
    </xf>
    <xf numFmtId="0" fontId="2" fillId="2" borderId="5" xfId="0" applyFont="1" applyFill="1" applyBorder="1" applyAlignment="1">
      <alignment horizontal="left" vertical="center"/>
    </xf>
    <xf numFmtId="0" fontId="2" fillId="2" borderId="10" xfId="0" applyFont="1" applyFill="1" applyBorder="1" applyAlignment="1">
      <alignment horizontal="left" vertical="center"/>
    </xf>
    <xf numFmtId="0" fontId="44" fillId="12" borderId="4" xfId="0" applyFont="1" applyFill="1" applyBorder="1" applyAlignment="1">
      <alignment horizontal="left" vertical="center"/>
    </xf>
    <xf numFmtId="0" fontId="44" fillId="12" borderId="5" xfId="0" applyFont="1" applyFill="1" applyBorder="1" applyAlignment="1">
      <alignment horizontal="left" vertical="center"/>
    </xf>
    <xf numFmtId="0" fontId="44" fillId="12" borderId="10" xfId="0" applyFont="1" applyFill="1" applyBorder="1" applyAlignment="1">
      <alignment horizontal="left" vertical="center"/>
    </xf>
    <xf numFmtId="0" fontId="2" fillId="10" borderId="7" xfId="0" applyFont="1" applyFill="1" applyBorder="1" applyAlignment="1">
      <alignment horizontal="left" vertical="center"/>
    </xf>
    <xf numFmtId="0" fontId="2" fillId="10" borderId="8" xfId="0" applyFont="1" applyFill="1" applyBorder="1" applyAlignment="1">
      <alignment horizontal="left" vertical="center"/>
    </xf>
    <xf numFmtId="0" fontId="2" fillId="10" borderId="9" xfId="0" applyFont="1" applyFill="1" applyBorder="1" applyAlignment="1">
      <alignment horizontal="left" vertical="center"/>
    </xf>
    <xf numFmtId="0" fontId="4" fillId="4" borderId="12" xfId="0" applyFont="1" applyFill="1" applyBorder="1" applyAlignment="1">
      <alignment horizontal="left" vertical="center" wrapText="1"/>
    </xf>
    <xf numFmtId="0" fontId="4" fillId="4" borderId="2" xfId="0" applyFont="1" applyFill="1" applyBorder="1" applyAlignment="1">
      <alignment horizontal="left" vertical="center" wrapText="1"/>
    </xf>
    <xf numFmtId="0" fontId="4" fillId="4" borderId="3" xfId="0" applyFont="1" applyFill="1" applyBorder="1" applyAlignment="1">
      <alignment horizontal="left" vertical="center" wrapText="1"/>
    </xf>
    <xf numFmtId="0" fontId="16" fillId="11" borderId="1" xfId="0" applyFont="1" applyFill="1" applyBorder="1" applyAlignment="1">
      <alignment horizontal="left"/>
    </xf>
    <xf numFmtId="0" fontId="2" fillId="6" borderId="1" xfId="0" applyFont="1" applyFill="1" applyBorder="1" applyAlignment="1">
      <alignment horizontal="left"/>
    </xf>
    <xf numFmtId="0" fontId="2" fillId="2" borderId="1" xfId="0" applyFont="1" applyFill="1" applyBorder="1" applyAlignment="1">
      <alignment horizontal="left" vertical="center"/>
    </xf>
    <xf numFmtId="0" fontId="7" fillId="4" borderId="1" xfId="0" applyFont="1" applyFill="1" applyBorder="1" applyAlignment="1">
      <alignment horizontal="left" vertical="center"/>
    </xf>
    <xf numFmtId="0" fontId="4" fillId="4" borderId="2" xfId="0" applyFont="1" applyFill="1" applyBorder="1" applyAlignment="1">
      <alignment horizontal="left" vertical="center"/>
    </xf>
    <xf numFmtId="0" fontId="4" fillId="4" borderId="3" xfId="0" applyFont="1" applyFill="1" applyBorder="1" applyAlignment="1">
      <alignment horizontal="left" vertical="center"/>
    </xf>
    <xf numFmtId="0" fontId="26" fillId="0" borderId="13" xfId="0" applyFont="1" applyBorder="1" applyAlignment="1">
      <alignment horizontal="center"/>
    </xf>
    <xf numFmtId="0" fontId="26" fillId="0" borderId="14" xfId="0" applyFont="1" applyBorder="1" applyAlignment="1">
      <alignment horizontal="center"/>
    </xf>
    <xf numFmtId="0" fontId="26" fillId="0" borderId="23" xfId="0" applyFont="1" applyBorder="1" applyAlignment="1">
      <alignment horizontal="center"/>
    </xf>
    <xf numFmtId="0" fontId="2" fillId="0" borderId="13" xfId="0" applyFont="1" applyBorder="1" applyAlignment="1">
      <alignment horizontal="left"/>
    </xf>
    <xf numFmtId="0" fontId="2" fillId="0" borderId="14" xfId="0" applyFont="1" applyBorder="1" applyAlignment="1">
      <alignment horizontal="left"/>
    </xf>
    <xf numFmtId="0" fontId="2" fillId="0" borderId="15" xfId="0" applyFont="1" applyBorder="1" applyAlignment="1">
      <alignment horizontal="left"/>
    </xf>
    <xf numFmtId="0" fontId="21" fillId="9" borderId="13" xfId="0" applyFont="1" applyFill="1" applyBorder="1" applyAlignment="1">
      <alignment horizontal="left" vertical="center"/>
    </xf>
    <xf numFmtId="0" fontId="21" fillId="9" borderId="14" xfId="0" applyFont="1" applyFill="1" applyBorder="1" applyAlignment="1">
      <alignment horizontal="left" vertical="center"/>
    </xf>
    <xf numFmtId="0" fontId="21" fillId="9" borderId="15" xfId="0" applyFont="1" applyFill="1" applyBorder="1" applyAlignment="1">
      <alignment horizontal="left" vertical="center"/>
    </xf>
    <xf numFmtId="0" fontId="23" fillId="4" borderId="18" xfId="0" applyFont="1" applyFill="1" applyBorder="1" applyAlignment="1">
      <alignment horizontal="center" vertical="center" wrapText="1"/>
    </xf>
    <xf numFmtId="0" fontId="23" fillId="4" borderId="19" xfId="0" applyFont="1" applyFill="1" applyBorder="1" applyAlignment="1">
      <alignment horizontal="center" vertical="center" wrapText="1"/>
    </xf>
    <xf numFmtId="0" fontId="21" fillId="9" borderId="47" xfId="0" applyFont="1" applyFill="1" applyBorder="1" applyAlignment="1">
      <alignment horizontal="left" vertical="center"/>
    </xf>
    <xf numFmtId="0" fontId="21" fillId="9" borderId="48" xfId="0" applyFont="1" applyFill="1" applyBorder="1" applyAlignment="1">
      <alignment horizontal="left" vertical="center"/>
    </xf>
    <xf numFmtId="0" fontId="23" fillId="4" borderId="48" xfId="0" applyFont="1" applyFill="1" applyBorder="1" applyAlignment="1">
      <alignment horizontal="center" vertical="center" wrapText="1"/>
    </xf>
    <xf numFmtId="0" fontId="17" fillId="4" borderId="3" xfId="0" applyFont="1" applyFill="1" applyBorder="1" applyAlignment="1">
      <alignment horizontal="left"/>
    </xf>
    <xf numFmtId="0" fontId="17" fillId="0" borderId="3" xfId="0" applyFont="1" applyBorder="1"/>
    <xf numFmtId="0" fontId="17" fillId="0" borderId="1" xfId="0" applyFont="1" applyBorder="1" applyAlignment="1">
      <alignment horizontal="center" vertical="center"/>
    </xf>
    <xf numFmtId="0" fontId="17" fillId="0" borderId="1" xfId="0" applyFont="1" applyBorder="1"/>
    <xf numFmtId="0" fontId="34" fillId="8" borderId="37" xfId="0" applyFont="1" applyFill="1" applyBorder="1" applyAlignment="1">
      <alignment vertical="center" wrapText="1"/>
    </xf>
    <xf numFmtId="0" fontId="47" fillId="0" borderId="35" xfId="0" applyFont="1" applyBorder="1" applyAlignment="1">
      <alignment vertical="center" wrapText="1"/>
    </xf>
    <xf numFmtId="0" fontId="47" fillId="0" borderId="1" xfId="0" applyFont="1" applyBorder="1" applyAlignment="1">
      <alignment horizontal="center" vertical="center"/>
    </xf>
    <xf numFmtId="1" fontId="47" fillId="4" borderId="37" xfId="1" applyNumberFormat="1" applyFont="1" applyFill="1" applyBorder="1" applyAlignment="1">
      <alignment horizontal="center" vertical="center" wrapText="1"/>
    </xf>
    <xf numFmtId="49" fontId="47" fillId="4" borderId="37" xfId="1" applyNumberFormat="1" applyFont="1" applyFill="1" applyBorder="1" applyAlignment="1">
      <alignment horizontal="left" vertical="center"/>
    </xf>
    <xf numFmtId="0" fontId="39" fillId="0" borderId="35" xfId="0" applyFont="1" applyBorder="1" applyAlignment="1">
      <alignment vertical="center" wrapText="1"/>
    </xf>
    <xf numFmtId="0" fontId="39" fillId="0" borderId="1" xfId="0" applyFont="1" applyBorder="1" applyAlignment="1">
      <alignment horizontal="center" vertical="center"/>
    </xf>
    <xf numFmtId="1" fontId="39" fillId="4" borderId="37" xfId="1" applyNumberFormat="1" applyFont="1" applyFill="1" applyBorder="1" applyAlignment="1">
      <alignment horizontal="center" vertical="center" wrapText="1"/>
    </xf>
    <xf numFmtId="49" fontId="39" fillId="4" borderId="37" xfId="1" applyNumberFormat="1" applyFont="1" applyFill="1" applyBorder="1" applyAlignment="1">
      <alignment horizontal="left" vertical="center"/>
    </xf>
    <xf numFmtId="20" fontId="28" fillId="0" borderId="1" xfId="1" applyNumberFormat="1" applyFont="1" applyBorder="1" applyAlignment="1">
      <alignment horizontal="center" vertical="center" wrapText="1"/>
    </xf>
    <xf numFmtId="49" fontId="28" fillId="0" borderId="1" xfId="1" applyNumberFormat="1" applyFont="1" applyBorder="1" applyAlignment="1">
      <alignment horizontal="center" vertical="center" wrapText="1"/>
    </xf>
    <xf numFmtId="20" fontId="28" fillId="0" borderId="1" xfId="1" applyNumberFormat="1" applyFont="1" applyBorder="1" applyAlignment="1">
      <alignment horizontal="left" vertical="center" wrapText="1"/>
    </xf>
    <xf numFmtId="0" fontId="29" fillId="0" borderId="51" xfId="0" applyFont="1" applyBorder="1"/>
    <xf numFmtId="0" fontId="30" fillId="4" borderId="67" xfId="0" applyFont="1" applyFill="1" applyBorder="1" applyAlignment="1">
      <alignment horizontal="center" vertical="center"/>
    </xf>
    <xf numFmtId="0" fontId="28" fillId="0" borderId="64" xfId="1" applyFont="1" applyBorder="1" applyAlignment="1">
      <alignment vertical="center" wrapText="1"/>
    </xf>
    <xf numFmtId="0" fontId="28" fillId="0" borderId="64" xfId="0" applyFont="1" applyBorder="1" applyAlignment="1">
      <alignment vertical="center" wrapText="1"/>
    </xf>
    <xf numFmtId="20" fontId="28" fillId="0" borderId="64" xfId="1" applyNumberFormat="1" applyFont="1" applyBorder="1" applyAlignment="1">
      <alignment horizontal="center" vertical="center" wrapText="1"/>
    </xf>
    <xf numFmtId="0" fontId="28" fillId="0" borderId="20" xfId="0" applyFont="1" applyBorder="1" applyAlignment="1">
      <alignment horizontal="center" vertical="center"/>
    </xf>
    <xf numFmtId="0" fontId="28" fillId="0" borderId="45" xfId="0" applyFont="1" applyBorder="1" applyAlignment="1">
      <alignment vertical="center"/>
    </xf>
  </cellXfs>
  <cellStyles count="2">
    <cellStyle name="Normal" xfId="0" builtinId="0"/>
    <cellStyle name="Normal 2" xfId="1" xr:uid="{2F66FF5A-72E8-45E5-A032-B0A731DB9E8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67267-4297-40B2-B6B1-22B8F9EB8DD3}">
  <dimension ref="A1:J266"/>
  <sheetViews>
    <sheetView tabSelected="1" zoomScale="70" zoomScaleNormal="70" workbookViewId="0"/>
  </sheetViews>
  <sheetFormatPr defaultColWidth="9.109375" defaultRowHeight="15.6" x14ac:dyDescent="0.3"/>
  <cols>
    <col min="1" max="1" width="4.6640625" style="106" bestFit="1" customWidth="1"/>
    <col min="2" max="2" width="52.6640625" style="58" customWidth="1"/>
    <col min="3" max="3" width="40.5546875" style="58" bestFit="1" customWidth="1"/>
    <col min="4" max="4" width="4.5546875" style="58" bestFit="1" customWidth="1"/>
    <col min="5" max="5" width="5.88671875" style="106" bestFit="1" customWidth="1"/>
    <col min="6" max="6" width="9" style="61" bestFit="1" customWidth="1"/>
    <col min="7" max="7" width="10" style="58" bestFit="1" customWidth="1"/>
    <col min="8" max="8" width="56" style="107" customWidth="1"/>
    <col min="9" max="9" width="60.33203125" style="106" customWidth="1"/>
    <col min="10" max="10" width="30.6640625" style="57" bestFit="1" customWidth="1"/>
    <col min="11" max="11" width="52" style="58" customWidth="1"/>
    <col min="12" max="256" width="9.109375" style="58"/>
    <col min="257" max="257" width="4.6640625" style="58" bestFit="1" customWidth="1"/>
    <col min="258" max="258" width="52.6640625" style="58" customWidth="1"/>
    <col min="259" max="259" width="40.5546875" style="58" bestFit="1" customWidth="1"/>
    <col min="260" max="260" width="4.5546875" style="58" bestFit="1" customWidth="1"/>
    <col min="261" max="261" width="5.88671875" style="58" bestFit="1" customWidth="1"/>
    <col min="262" max="262" width="9" style="58" bestFit="1" customWidth="1"/>
    <col min="263" max="263" width="9" style="58" customWidth="1"/>
    <col min="264" max="264" width="56" style="58" customWidth="1"/>
    <col min="265" max="265" width="58" style="58" customWidth="1"/>
    <col min="266" max="266" width="43.6640625" style="58" customWidth="1"/>
    <col min="267" max="267" width="52" style="58" customWidth="1"/>
    <col min="268" max="512" width="9.109375" style="58"/>
    <col min="513" max="513" width="4.6640625" style="58" bestFit="1" customWidth="1"/>
    <col min="514" max="514" width="52.6640625" style="58" customWidth="1"/>
    <col min="515" max="515" width="40.5546875" style="58" bestFit="1" customWidth="1"/>
    <col min="516" max="516" width="4.5546875" style="58" bestFit="1" customWidth="1"/>
    <col min="517" max="517" width="5.88671875" style="58" bestFit="1" customWidth="1"/>
    <col min="518" max="518" width="9" style="58" bestFit="1" customWidth="1"/>
    <col min="519" max="519" width="9" style="58" customWidth="1"/>
    <col min="520" max="520" width="56" style="58" customWidth="1"/>
    <col min="521" max="521" width="58" style="58" customWidth="1"/>
    <col min="522" max="522" width="43.6640625" style="58" customWidth="1"/>
    <col min="523" max="523" width="52" style="58" customWidth="1"/>
    <col min="524" max="768" width="9.109375" style="58"/>
    <col min="769" max="769" width="4.6640625" style="58" bestFit="1" customWidth="1"/>
    <col min="770" max="770" width="52.6640625" style="58" customWidth="1"/>
    <col min="771" max="771" width="40.5546875" style="58" bestFit="1" customWidth="1"/>
    <col min="772" max="772" width="4.5546875" style="58" bestFit="1" customWidth="1"/>
    <col min="773" max="773" width="5.88671875" style="58" bestFit="1" customWidth="1"/>
    <col min="774" max="774" width="9" style="58" bestFit="1" customWidth="1"/>
    <col min="775" max="775" width="9" style="58" customWidth="1"/>
    <col min="776" max="776" width="56" style="58" customWidth="1"/>
    <col min="777" max="777" width="58" style="58" customWidth="1"/>
    <col min="778" max="778" width="43.6640625" style="58" customWidth="1"/>
    <col min="779" max="779" width="52" style="58" customWidth="1"/>
    <col min="780" max="1024" width="9.109375" style="58"/>
    <col min="1025" max="1025" width="4.6640625" style="58" bestFit="1" customWidth="1"/>
    <col min="1026" max="1026" width="52.6640625" style="58" customWidth="1"/>
    <col min="1027" max="1027" width="40.5546875" style="58" bestFit="1" customWidth="1"/>
    <col min="1028" max="1028" width="4.5546875" style="58" bestFit="1" customWidth="1"/>
    <col min="1029" max="1029" width="5.88671875" style="58" bestFit="1" customWidth="1"/>
    <col min="1030" max="1030" width="9" style="58" bestFit="1" customWidth="1"/>
    <col min="1031" max="1031" width="9" style="58" customWidth="1"/>
    <col min="1032" max="1032" width="56" style="58" customWidth="1"/>
    <col min="1033" max="1033" width="58" style="58" customWidth="1"/>
    <col min="1034" max="1034" width="43.6640625" style="58" customWidth="1"/>
    <col min="1035" max="1035" width="52" style="58" customWidth="1"/>
    <col min="1036" max="1280" width="9.109375" style="58"/>
    <col min="1281" max="1281" width="4.6640625" style="58" bestFit="1" customWidth="1"/>
    <col min="1282" max="1282" width="52.6640625" style="58" customWidth="1"/>
    <col min="1283" max="1283" width="40.5546875" style="58" bestFit="1" customWidth="1"/>
    <col min="1284" max="1284" width="4.5546875" style="58" bestFit="1" customWidth="1"/>
    <col min="1285" max="1285" width="5.88671875" style="58" bestFit="1" customWidth="1"/>
    <col min="1286" max="1286" width="9" style="58" bestFit="1" customWidth="1"/>
    <col min="1287" max="1287" width="9" style="58" customWidth="1"/>
    <col min="1288" max="1288" width="56" style="58" customWidth="1"/>
    <col min="1289" max="1289" width="58" style="58" customWidth="1"/>
    <col min="1290" max="1290" width="43.6640625" style="58" customWidth="1"/>
    <col min="1291" max="1291" width="52" style="58" customWidth="1"/>
    <col min="1292" max="1536" width="9.109375" style="58"/>
    <col min="1537" max="1537" width="4.6640625" style="58" bestFit="1" customWidth="1"/>
    <col min="1538" max="1538" width="52.6640625" style="58" customWidth="1"/>
    <col min="1539" max="1539" width="40.5546875" style="58" bestFit="1" customWidth="1"/>
    <col min="1540" max="1540" width="4.5546875" style="58" bestFit="1" customWidth="1"/>
    <col min="1541" max="1541" width="5.88671875" style="58" bestFit="1" customWidth="1"/>
    <col min="1542" max="1542" width="9" style="58" bestFit="1" customWidth="1"/>
    <col min="1543" max="1543" width="9" style="58" customWidth="1"/>
    <col min="1544" max="1544" width="56" style="58" customWidth="1"/>
    <col min="1545" max="1545" width="58" style="58" customWidth="1"/>
    <col min="1546" max="1546" width="43.6640625" style="58" customWidth="1"/>
    <col min="1547" max="1547" width="52" style="58" customWidth="1"/>
    <col min="1548" max="1792" width="9.109375" style="58"/>
    <col min="1793" max="1793" width="4.6640625" style="58" bestFit="1" customWidth="1"/>
    <col min="1794" max="1794" width="52.6640625" style="58" customWidth="1"/>
    <col min="1795" max="1795" width="40.5546875" style="58" bestFit="1" customWidth="1"/>
    <col min="1796" max="1796" width="4.5546875" style="58" bestFit="1" customWidth="1"/>
    <col min="1797" max="1797" width="5.88671875" style="58" bestFit="1" customWidth="1"/>
    <col min="1798" max="1798" width="9" style="58" bestFit="1" customWidth="1"/>
    <col min="1799" max="1799" width="9" style="58" customWidth="1"/>
    <col min="1800" max="1800" width="56" style="58" customWidth="1"/>
    <col min="1801" max="1801" width="58" style="58" customWidth="1"/>
    <col min="1802" max="1802" width="43.6640625" style="58" customWidth="1"/>
    <col min="1803" max="1803" width="52" style="58" customWidth="1"/>
    <col min="1804" max="2048" width="9.109375" style="58"/>
    <col min="2049" max="2049" width="4.6640625" style="58" bestFit="1" customWidth="1"/>
    <col min="2050" max="2050" width="52.6640625" style="58" customWidth="1"/>
    <col min="2051" max="2051" width="40.5546875" style="58" bestFit="1" customWidth="1"/>
    <col min="2052" max="2052" width="4.5546875" style="58" bestFit="1" customWidth="1"/>
    <col min="2053" max="2053" width="5.88671875" style="58" bestFit="1" customWidth="1"/>
    <col min="2054" max="2054" width="9" style="58" bestFit="1" customWidth="1"/>
    <col min="2055" max="2055" width="9" style="58" customWidth="1"/>
    <col min="2056" max="2056" width="56" style="58" customWidth="1"/>
    <col min="2057" max="2057" width="58" style="58" customWidth="1"/>
    <col min="2058" max="2058" width="43.6640625" style="58" customWidth="1"/>
    <col min="2059" max="2059" width="52" style="58" customWidth="1"/>
    <col min="2060" max="2304" width="9.109375" style="58"/>
    <col min="2305" max="2305" width="4.6640625" style="58" bestFit="1" customWidth="1"/>
    <col min="2306" max="2306" width="52.6640625" style="58" customWidth="1"/>
    <col min="2307" max="2307" width="40.5546875" style="58" bestFit="1" customWidth="1"/>
    <col min="2308" max="2308" width="4.5546875" style="58" bestFit="1" customWidth="1"/>
    <col min="2309" max="2309" width="5.88671875" style="58" bestFit="1" customWidth="1"/>
    <col min="2310" max="2310" width="9" style="58" bestFit="1" customWidth="1"/>
    <col min="2311" max="2311" width="9" style="58" customWidth="1"/>
    <col min="2312" max="2312" width="56" style="58" customWidth="1"/>
    <col min="2313" max="2313" width="58" style="58" customWidth="1"/>
    <col min="2314" max="2314" width="43.6640625" style="58" customWidth="1"/>
    <col min="2315" max="2315" width="52" style="58" customWidth="1"/>
    <col min="2316" max="2560" width="9.109375" style="58"/>
    <col min="2561" max="2561" width="4.6640625" style="58" bestFit="1" customWidth="1"/>
    <col min="2562" max="2562" width="52.6640625" style="58" customWidth="1"/>
    <col min="2563" max="2563" width="40.5546875" style="58" bestFit="1" customWidth="1"/>
    <col min="2564" max="2564" width="4.5546875" style="58" bestFit="1" customWidth="1"/>
    <col min="2565" max="2565" width="5.88671875" style="58" bestFit="1" customWidth="1"/>
    <col min="2566" max="2566" width="9" style="58" bestFit="1" customWidth="1"/>
    <col min="2567" max="2567" width="9" style="58" customWidth="1"/>
    <col min="2568" max="2568" width="56" style="58" customWidth="1"/>
    <col min="2569" max="2569" width="58" style="58" customWidth="1"/>
    <col min="2570" max="2570" width="43.6640625" style="58" customWidth="1"/>
    <col min="2571" max="2571" width="52" style="58" customWidth="1"/>
    <col min="2572" max="2816" width="9.109375" style="58"/>
    <col min="2817" max="2817" width="4.6640625" style="58" bestFit="1" customWidth="1"/>
    <col min="2818" max="2818" width="52.6640625" style="58" customWidth="1"/>
    <col min="2819" max="2819" width="40.5546875" style="58" bestFit="1" customWidth="1"/>
    <col min="2820" max="2820" width="4.5546875" style="58" bestFit="1" customWidth="1"/>
    <col min="2821" max="2821" width="5.88671875" style="58" bestFit="1" customWidth="1"/>
    <col min="2822" max="2822" width="9" style="58" bestFit="1" customWidth="1"/>
    <col min="2823" max="2823" width="9" style="58" customWidth="1"/>
    <col min="2824" max="2824" width="56" style="58" customWidth="1"/>
    <col min="2825" max="2825" width="58" style="58" customWidth="1"/>
    <col min="2826" max="2826" width="43.6640625" style="58" customWidth="1"/>
    <col min="2827" max="2827" width="52" style="58" customWidth="1"/>
    <col min="2828" max="3072" width="9.109375" style="58"/>
    <col min="3073" max="3073" width="4.6640625" style="58" bestFit="1" customWidth="1"/>
    <col min="3074" max="3074" width="52.6640625" style="58" customWidth="1"/>
    <col min="3075" max="3075" width="40.5546875" style="58" bestFit="1" customWidth="1"/>
    <col min="3076" max="3076" width="4.5546875" style="58" bestFit="1" customWidth="1"/>
    <col min="3077" max="3077" width="5.88671875" style="58" bestFit="1" customWidth="1"/>
    <col min="3078" max="3078" width="9" style="58" bestFit="1" customWidth="1"/>
    <col min="3079" max="3079" width="9" style="58" customWidth="1"/>
    <col min="3080" max="3080" width="56" style="58" customWidth="1"/>
    <col min="3081" max="3081" width="58" style="58" customWidth="1"/>
    <col min="3082" max="3082" width="43.6640625" style="58" customWidth="1"/>
    <col min="3083" max="3083" width="52" style="58" customWidth="1"/>
    <col min="3084" max="3328" width="9.109375" style="58"/>
    <col min="3329" max="3329" width="4.6640625" style="58" bestFit="1" customWidth="1"/>
    <col min="3330" max="3330" width="52.6640625" style="58" customWidth="1"/>
    <col min="3331" max="3331" width="40.5546875" style="58" bestFit="1" customWidth="1"/>
    <col min="3332" max="3332" width="4.5546875" style="58" bestFit="1" customWidth="1"/>
    <col min="3333" max="3333" width="5.88671875" style="58" bestFit="1" customWidth="1"/>
    <col min="3334" max="3334" width="9" style="58" bestFit="1" customWidth="1"/>
    <col min="3335" max="3335" width="9" style="58" customWidth="1"/>
    <col min="3336" max="3336" width="56" style="58" customWidth="1"/>
    <col min="3337" max="3337" width="58" style="58" customWidth="1"/>
    <col min="3338" max="3338" width="43.6640625" style="58" customWidth="1"/>
    <col min="3339" max="3339" width="52" style="58" customWidth="1"/>
    <col min="3340" max="3584" width="9.109375" style="58"/>
    <col min="3585" max="3585" width="4.6640625" style="58" bestFit="1" customWidth="1"/>
    <col min="3586" max="3586" width="52.6640625" style="58" customWidth="1"/>
    <col min="3587" max="3587" width="40.5546875" style="58" bestFit="1" customWidth="1"/>
    <col min="3588" max="3588" width="4.5546875" style="58" bestFit="1" customWidth="1"/>
    <col min="3589" max="3589" width="5.88671875" style="58" bestFit="1" customWidth="1"/>
    <col min="3590" max="3590" width="9" style="58" bestFit="1" customWidth="1"/>
    <col min="3591" max="3591" width="9" style="58" customWidth="1"/>
    <col min="3592" max="3592" width="56" style="58" customWidth="1"/>
    <col min="3593" max="3593" width="58" style="58" customWidth="1"/>
    <col min="3594" max="3594" width="43.6640625" style="58" customWidth="1"/>
    <col min="3595" max="3595" width="52" style="58" customWidth="1"/>
    <col min="3596" max="3840" width="9.109375" style="58"/>
    <col min="3841" max="3841" width="4.6640625" style="58" bestFit="1" customWidth="1"/>
    <col min="3842" max="3842" width="52.6640625" style="58" customWidth="1"/>
    <col min="3843" max="3843" width="40.5546875" style="58" bestFit="1" customWidth="1"/>
    <col min="3844" max="3844" width="4.5546875" style="58" bestFit="1" customWidth="1"/>
    <col min="3845" max="3845" width="5.88671875" style="58" bestFit="1" customWidth="1"/>
    <col min="3846" max="3846" width="9" style="58" bestFit="1" customWidth="1"/>
    <col min="3847" max="3847" width="9" style="58" customWidth="1"/>
    <col min="3848" max="3848" width="56" style="58" customWidth="1"/>
    <col min="3849" max="3849" width="58" style="58" customWidth="1"/>
    <col min="3850" max="3850" width="43.6640625" style="58" customWidth="1"/>
    <col min="3851" max="3851" width="52" style="58" customWidth="1"/>
    <col min="3852" max="4096" width="9.109375" style="58"/>
    <col min="4097" max="4097" width="4.6640625" style="58" bestFit="1" customWidth="1"/>
    <col min="4098" max="4098" width="52.6640625" style="58" customWidth="1"/>
    <col min="4099" max="4099" width="40.5546875" style="58" bestFit="1" customWidth="1"/>
    <col min="4100" max="4100" width="4.5546875" style="58" bestFit="1" customWidth="1"/>
    <col min="4101" max="4101" width="5.88671875" style="58" bestFit="1" customWidth="1"/>
    <col min="4102" max="4102" width="9" style="58" bestFit="1" customWidth="1"/>
    <col min="4103" max="4103" width="9" style="58" customWidth="1"/>
    <col min="4104" max="4104" width="56" style="58" customWidth="1"/>
    <col min="4105" max="4105" width="58" style="58" customWidth="1"/>
    <col min="4106" max="4106" width="43.6640625" style="58" customWidth="1"/>
    <col min="4107" max="4107" width="52" style="58" customWidth="1"/>
    <col min="4108" max="4352" width="9.109375" style="58"/>
    <col min="4353" max="4353" width="4.6640625" style="58" bestFit="1" customWidth="1"/>
    <col min="4354" max="4354" width="52.6640625" style="58" customWidth="1"/>
    <col min="4355" max="4355" width="40.5546875" style="58" bestFit="1" customWidth="1"/>
    <col min="4356" max="4356" width="4.5546875" style="58" bestFit="1" customWidth="1"/>
    <col min="4357" max="4357" width="5.88671875" style="58" bestFit="1" customWidth="1"/>
    <col min="4358" max="4358" width="9" style="58" bestFit="1" customWidth="1"/>
    <col min="4359" max="4359" width="9" style="58" customWidth="1"/>
    <col min="4360" max="4360" width="56" style="58" customWidth="1"/>
    <col min="4361" max="4361" width="58" style="58" customWidth="1"/>
    <col min="4362" max="4362" width="43.6640625" style="58" customWidth="1"/>
    <col min="4363" max="4363" width="52" style="58" customWidth="1"/>
    <col min="4364" max="4608" width="9.109375" style="58"/>
    <col min="4609" max="4609" width="4.6640625" style="58" bestFit="1" customWidth="1"/>
    <col min="4610" max="4610" width="52.6640625" style="58" customWidth="1"/>
    <col min="4611" max="4611" width="40.5546875" style="58" bestFit="1" customWidth="1"/>
    <col min="4612" max="4612" width="4.5546875" style="58" bestFit="1" customWidth="1"/>
    <col min="4613" max="4613" width="5.88671875" style="58" bestFit="1" customWidth="1"/>
    <col min="4614" max="4614" width="9" style="58" bestFit="1" customWidth="1"/>
    <col min="4615" max="4615" width="9" style="58" customWidth="1"/>
    <col min="4616" max="4616" width="56" style="58" customWidth="1"/>
    <col min="4617" max="4617" width="58" style="58" customWidth="1"/>
    <col min="4618" max="4618" width="43.6640625" style="58" customWidth="1"/>
    <col min="4619" max="4619" width="52" style="58" customWidth="1"/>
    <col min="4620" max="4864" width="9.109375" style="58"/>
    <col min="4865" max="4865" width="4.6640625" style="58" bestFit="1" customWidth="1"/>
    <col min="4866" max="4866" width="52.6640625" style="58" customWidth="1"/>
    <col min="4867" max="4867" width="40.5546875" style="58" bestFit="1" customWidth="1"/>
    <col min="4868" max="4868" width="4.5546875" style="58" bestFit="1" customWidth="1"/>
    <col min="4869" max="4869" width="5.88671875" style="58" bestFit="1" customWidth="1"/>
    <col min="4870" max="4870" width="9" style="58" bestFit="1" customWidth="1"/>
    <col min="4871" max="4871" width="9" style="58" customWidth="1"/>
    <col min="4872" max="4872" width="56" style="58" customWidth="1"/>
    <col min="4873" max="4873" width="58" style="58" customWidth="1"/>
    <col min="4874" max="4874" width="43.6640625" style="58" customWidth="1"/>
    <col min="4875" max="4875" width="52" style="58" customWidth="1"/>
    <col min="4876" max="5120" width="9.109375" style="58"/>
    <col min="5121" max="5121" width="4.6640625" style="58" bestFit="1" customWidth="1"/>
    <col min="5122" max="5122" width="52.6640625" style="58" customWidth="1"/>
    <col min="5123" max="5123" width="40.5546875" style="58" bestFit="1" customWidth="1"/>
    <col min="5124" max="5124" width="4.5546875" style="58" bestFit="1" customWidth="1"/>
    <col min="5125" max="5125" width="5.88671875" style="58" bestFit="1" customWidth="1"/>
    <col min="5126" max="5126" width="9" style="58" bestFit="1" customWidth="1"/>
    <col min="5127" max="5127" width="9" style="58" customWidth="1"/>
    <col min="5128" max="5128" width="56" style="58" customWidth="1"/>
    <col min="5129" max="5129" width="58" style="58" customWidth="1"/>
    <col min="5130" max="5130" width="43.6640625" style="58" customWidth="1"/>
    <col min="5131" max="5131" width="52" style="58" customWidth="1"/>
    <col min="5132" max="5376" width="9.109375" style="58"/>
    <col min="5377" max="5377" width="4.6640625" style="58" bestFit="1" customWidth="1"/>
    <col min="5378" max="5378" width="52.6640625" style="58" customWidth="1"/>
    <col min="5379" max="5379" width="40.5546875" style="58" bestFit="1" customWidth="1"/>
    <col min="5380" max="5380" width="4.5546875" style="58" bestFit="1" customWidth="1"/>
    <col min="5381" max="5381" width="5.88671875" style="58" bestFit="1" customWidth="1"/>
    <col min="5382" max="5382" width="9" style="58" bestFit="1" customWidth="1"/>
    <col min="5383" max="5383" width="9" style="58" customWidth="1"/>
    <col min="5384" max="5384" width="56" style="58" customWidth="1"/>
    <col min="5385" max="5385" width="58" style="58" customWidth="1"/>
    <col min="5386" max="5386" width="43.6640625" style="58" customWidth="1"/>
    <col min="5387" max="5387" width="52" style="58" customWidth="1"/>
    <col min="5388" max="5632" width="9.109375" style="58"/>
    <col min="5633" max="5633" width="4.6640625" style="58" bestFit="1" customWidth="1"/>
    <col min="5634" max="5634" width="52.6640625" style="58" customWidth="1"/>
    <col min="5635" max="5635" width="40.5546875" style="58" bestFit="1" customWidth="1"/>
    <col min="5636" max="5636" width="4.5546875" style="58" bestFit="1" customWidth="1"/>
    <col min="5637" max="5637" width="5.88671875" style="58" bestFit="1" customWidth="1"/>
    <col min="5638" max="5638" width="9" style="58" bestFit="1" customWidth="1"/>
    <col min="5639" max="5639" width="9" style="58" customWidth="1"/>
    <col min="5640" max="5640" width="56" style="58" customWidth="1"/>
    <col min="5641" max="5641" width="58" style="58" customWidth="1"/>
    <col min="5642" max="5642" width="43.6640625" style="58" customWidth="1"/>
    <col min="5643" max="5643" width="52" style="58" customWidth="1"/>
    <col min="5644" max="5888" width="9.109375" style="58"/>
    <col min="5889" max="5889" width="4.6640625" style="58" bestFit="1" customWidth="1"/>
    <col min="5890" max="5890" width="52.6640625" style="58" customWidth="1"/>
    <col min="5891" max="5891" width="40.5546875" style="58" bestFit="1" customWidth="1"/>
    <col min="5892" max="5892" width="4.5546875" style="58" bestFit="1" customWidth="1"/>
    <col min="5893" max="5893" width="5.88671875" style="58" bestFit="1" customWidth="1"/>
    <col min="5894" max="5894" width="9" style="58" bestFit="1" customWidth="1"/>
    <col min="5895" max="5895" width="9" style="58" customWidth="1"/>
    <col min="5896" max="5896" width="56" style="58" customWidth="1"/>
    <col min="5897" max="5897" width="58" style="58" customWidth="1"/>
    <col min="5898" max="5898" width="43.6640625" style="58" customWidth="1"/>
    <col min="5899" max="5899" width="52" style="58" customWidth="1"/>
    <col min="5900" max="6144" width="9.109375" style="58"/>
    <col min="6145" max="6145" width="4.6640625" style="58" bestFit="1" customWidth="1"/>
    <col min="6146" max="6146" width="52.6640625" style="58" customWidth="1"/>
    <col min="6147" max="6147" width="40.5546875" style="58" bestFit="1" customWidth="1"/>
    <col min="6148" max="6148" width="4.5546875" style="58" bestFit="1" customWidth="1"/>
    <col min="6149" max="6149" width="5.88671875" style="58" bestFit="1" customWidth="1"/>
    <col min="6150" max="6150" width="9" style="58" bestFit="1" customWidth="1"/>
    <col min="6151" max="6151" width="9" style="58" customWidth="1"/>
    <col min="6152" max="6152" width="56" style="58" customWidth="1"/>
    <col min="6153" max="6153" width="58" style="58" customWidth="1"/>
    <col min="6154" max="6154" width="43.6640625" style="58" customWidth="1"/>
    <col min="6155" max="6155" width="52" style="58" customWidth="1"/>
    <col min="6156" max="6400" width="9.109375" style="58"/>
    <col min="6401" max="6401" width="4.6640625" style="58" bestFit="1" customWidth="1"/>
    <col min="6402" max="6402" width="52.6640625" style="58" customWidth="1"/>
    <col min="6403" max="6403" width="40.5546875" style="58" bestFit="1" customWidth="1"/>
    <col min="6404" max="6404" width="4.5546875" style="58" bestFit="1" customWidth="1"/>
    <col min="6405" max="6405" width="5.88671875" style="58" bestFit="1" customWidth="1"/>
    <col min="6406" max="6406" width="9" style="58" bestFit="1" customWidth="1"/>
    <col min="6407" max="6407" width="9" style="58" customWidth="1"/>
    <col min="6408" max="6408" width="56" style="58" customWidth="1"/>
    <col min="6409" max="6409" width="58" style="58" customWidth="1"/>
    <col min="6410" max="6410" width="43.6640625" style="58" customWidth="1"/>
    <col min="6411" max="6411" width="52" style="58" customWidth="1"/>
    <col min="6412" max="6656" width="9.109375" style="58"/>
    <col min="6657" max="6657" width="4.6640625" style="58" bestFit="1" customWidth="1"/>
    <col min="6658" max="6658" width="52.6640625" style="58" customWidth="1"/>
    <col min="6659" max="6659" width="40.5546875" style="58" bestFit="1" customWidth="1"/>
    <col min="6660" max="6660" width="4.5546875" style="58" bestFit="1" customWidth="1"/>
    <col min="6661" max="6661" width="5.88671875" style="58" bestFit="1" customWidth="1"/>
    <col min="6662" max="6662" width="9" style="58" bestFit="1" customWidth="1"/>
    <col min="6663" max="6663" width="9" style="58" customWidth="1"/>
    <col min="6664" max="6664" width="56" style="58" customWidth="1"/>
    <col min="6665" max="6665" width="58" style="58" customWidth="1"/>
    <col min="6666" max="6666" width="43.6640625" style="58" customWidth="1"/>
    <col min="6667" max="6667" width="52" style="58" customWidth="1"/>
    <col min="6668" max="6912" width="9.109375" style="58"/>
    <col min="6913" max="6913" width="4.6640625" style="58" bestFit="1" customWidth="1"/>
    <col min="6914" max="6914" width="52.6640625" style="58" customWidth="1"/>
    <col min="6915" max="6915" width="40.5546875" style="58" bestFit="1" customWidth="1"/>
    <col min="6916" max="6916" width="4.5546875" style="58" bestFit="1" customWidth="1"/>
    <col min="6917" max="6917" width="5.88671875" style="58" bestFit="1" customWidth="1"/>
    <col min="6918" max="6918" width="9" style="58" bestFit="1" customWidth="1"/>
    <col min="6919" max="6919" width="9" style="58" customWidth="1"/>
    <col min="6920" max="6920" width="56" style="58" customWidth="1"/>
    <col min="6921" max="6921" width="58" style="58" customWidth="1"/>
    <col min="6922" max="6922" width="43.6640625" style="58" customWidth="1"/>
    <col min="6923" max="6923" width="52" style="58" customWidth="1"/>
    <col min="6924" max="7168" width="9.109375" style="58"/>
    <col min="7169" max="7169" width="4.6640625" style="58" bestFit="1" customWidth="1"/>
    <col min="7170" max="7170" width="52.6640625" style="58" customWidth="1"/>
    <col min="7171" max="7171" width="40.5546875" style="58" bestFit="1" customWidth="1"/>
    <col min="7172" max="7172" width="4.5546875" style="58" bestFit="1" customWidth="1"/>
    <col min="7173" max="7173" width="5.88671875" style="58" bestFit="1" customWidth="1"/>
    <col min="7174" max="7174" width="9" style="58" bestFit="1" customWidth="1"/>
    <col min="7175" max="7175" width="9" style="58" customWidth="1"/>
    <col min="7176" max="7176" width="56" style="58" customWidth="1"/>
    <col min="7177" max="7177" width="58" style="58" customWidth="1"/>
    <col min="7178" max="7178" width="43.6640625" style="58" customWidth="1"/>
    <col min="7179" max="7179" width="52" style="58" customWidth="1"/>
    <col min="7180" max="7424" width="9.109375" style="58"/>
    <col min="7425" max="7425" width="4.6640625" style="58" bestFit="1" customWidth="1"/>
    <col min="7426" max="7426" width="52.6640625" style="58" customWidth="1"/>
    <col min="7427" max="7427" width="40.5546875" style="58" bestFit="1" customWidth="1"/>
    <col min="7428" max="7428" width="4.5546875" style="58" bestFit="1" customWidth="1"/>
    <col min="7429" max="7429" width="5.88671875" style="58" bestFit="1" customWidth="1"/>
    <col min="7430" max="7430" width="9" style="58" bestFit="1" customWidth="1"/>
    <col min="7431" max="7431" width="9" style="58" customWidth="1"/>
    <col min="7432" max="7432" width="56" style="58" customWidth="1"/>
    <col min="7433" max="7433" width="58" style="58" customWidth="1"/>
    <col min="7434" max="7434" width="43.6640625" style="58" customWidth="1"/>
    <col min="7435" max="7435" width="52" style="58" customWidth="1"/>
    <col min="7436" max="7680" width="9.109375" style="58"/>
    <col min="7681" max="7681" width="4.6640625" style="58" bestFit="1" customWidth="1"/>
    <col min="7682" max="7682" width="52.6640625" style="58" customWidth="1"/>
    <col min="7683" max="7683" width="40.5546875" style="58" bestFit="1" customWidth="1"/>
    <col min="7684" max="7684" width="4.5546875" style="58" bestFit="1" customWidth="1"/>
    <col min="7685" max="7685" width="5.88671875" style="58" bestFit="1" customWidth="1"/>
    <col min="7686" max="7686" width="9" style="58" bestFit="1" customWidth="1"/>
    <col min="7687" max="7687" width="9" style="58" customWidth="1"/>
    <col min="7688" max="7688" width="56" style="58" customWidth="1"/>
    <col min="7689" max="7689" width="58" style="58" customWidth="1"/>
    <col min="7690" max="7690" width="43.6640625" style="58" customWidth="1"/>
    <col min="7691" max="7691" width="52" style="58" customWidth="1"/>
    <col min="7692" max="7936" width="9.109375" style="58"/>
    <col min="7937" max="7937" width="4.6640625" style="58" bestFit="1" customWidth="1"/>
    <col min="7938" max="7938" width="52.6640625" style="58" customWidth="1"/>
    <col min="7939" max="7939" width="40.5546875" style="58" bestFit="1" customWidth="1"/>
    <col min="7940" max="7940" width="4.5546875" style="58" bestFit="1" customWidth="1"/>
    <col min="7941" max="7941" width="5.88671875" style="58" bestFit="1" customWidth="1"/>
    <col min="7942" max="7942" width="9" style="58" bestFit="1" customWidth="1"/>
    <col min="7943" max="7943" width="9" style="58" customWidth="1"/>
    <col min="7944" max="7944" width="56" style="58" customWidth="1"/>
    <col min="7945" max="7945" width="58" style="58" customWidth="1"/>
    <col min="7946" max="7946" width="43.6640625" style="58" customWidth="1"/>
    <col min="7947" max="7947" width="52" style="58" customWidth="1"/>
    <col min="7948" max="8192" width="9.109375" style="58"/>
    <col min="8193" max="8193" width="4.6640625" style="58" bestFit="1" customWidth="1"/>
    <col min="8194" max="8194" width="52.6640625" style="58" customWidth="1"/>
    <col min="8195" max="8195" width="40.5546875" style="58" bestFit="1" customWidth="1"/>
    <col min="8196" max="8196" width="4.5546875" style="58" bestFit="1" customWidth="1"/>
    <col min="8197" max="8197" width="5.88671875" style="58" bestFit="1" customWidth="1"/>
    <col min="8198" max="8198" width="9" style="58" bestFit="1" customWidth="1"/>
    <col min="8199" max="8199" width="9" style="58" customWidth="1"/>
    <col min="8200" max="8200" width="56" style="58" customWidth="1"/>
    <col min="8201" max="8201" width="58" style="58" customWidth="1"/>
    <col min="8202" max="8202" width="43.6640625" style="58" customWidth="1"/>
    <col min="8203" max="8203" width="52" style="58" customWidth="1"/>
    <col min="8204" max="8448" width="9.109375" style="58"/>
    <col min="8449" max="8449" width="4.6640625" style="58" bestFit="1" customWidth="1"/>
    <col min="8450" max="8450" width="52.6640625" style="58" customWidth="1"/>
    <col min="8451" max="8451" width="40.5546875" style="58" bestFit="1" customWidth="1"/>
    <col min="8452" max="8452" width="4.5546875" style="58" bestFit="1" customWidth="1"/>
    <col min="8453" max="8453" width="5.88671875" style="58" bestFit="1" customWidth="1"/>
    <col min="8454" max="8454" width="9" style="58" bestFit="1" customWidth="1"/>
    <col min="8455" max="8455" width="9" style="58" customWidth="1"/>
    <col min="8456" max="8456" width="56" style="58" customWidth="1"/>
    <col min="8457" max="8457" width="58" style="58" customWidth="1"/>
    <col min="8458" max="8458" width="43.6640625" style="58" customWidth="1"/>
    <col min="8459" max="8459" width="52" style="58" customWidth="1"/>
    <col min="8460" max="8704" width="9.109375" style="58"/>
    <col min="8705" max="8705" width="4.6640625" style="58" bestFit="1" customWidth="1"/>
    <col min="8706" max="8706" width="52.6640625" style="58" customWidth="1"/>
    <col min="8707" max="8707" width="40.5546875" style="58" bestFit="1" customWidth="1"/>
    <col min="8708" max="8708" width="4.5546875" style="58" bestFit="1" customWidth="1"/>
    <col min="8709" max="8709" width="5.88671875" style="58" bestFit="1" customWidth="1"/>
    <col min="8710" max="8710" width="9" style="58" bestFit="1" customWidth="1"/>
    <col min="8711" max="8711" width="9" style="58" customWidth="1"/>
    <col min="8712" max="8712" width="56" style="58" customWidth="1"/>
    <col min="8713" max="8713" width="58" style="58" customWidth="1"/>
    <col min="8714" max="8714" width="43.6640625" style="58" customWidth="1"/>
    <col min="8715" max="8715" width="52" style="58" customWidth="1"/>
    <col min="8716" max="8960" width="9.109375" style="58"/>
    <col min="8961" max="8961" width="4.6640625" style="58" bestFit="1" customWidth="1"/>
    <col min="8962" max="8962" width="52.6640625" style="58" customWidth="1"/>
    <col min="8963" max="8963" width="40.5546875" style="58" bestFit="1" customWidth="1"/>
    <col min="8964" max="8964" width="4.5546875" style="58" bestFit="1" customWidth="1"/>
    <col min="8965" max="8965" width="5.88671875" style="58" bestFit="1" customWidth="1"/>
    <col min="8966" max="8966" width="9" style="58" bestFit="1" customWidth="1"/>
    <col min="8967" max="8967" width="9" style="58" customWidth="1"/>
    <col min="8968" max="8968" width="56" style="58" customWidth="1"/>
    <col min="8969" max="8969" width="58" style="58" customWidth="1"/>
    <col min="8970" max="8970" width="43.6640625" style="58" customWidth="1"/>
    <col min="8971" max="8971" width="52" style="58" customWidth="1"/>
    <col min="8972" max="9216" width="9.109375" style="58"/>
    <col min="9217" max="9217" width="4.6640625" style="58" bestFit="1" customWidth="1"/>
    <col min="9218" max="9218" width="52.6640625" style="58" customWidth="1"/>
    <col min="9219" max="9219" width="40.5546875" style="58" bestFit="1" customWidth="1"/>
    <col min="9220" max="9220" width="4.5546875" style="58" bestFit="1" customWidth="1"/>
    <col min="9221" max="9221" width="5.88671875" style="58" bestFit="1" customWidth="1"/>
    <col min="9222" max="9222" width="9" style="58" bestFit="1" customWidth="1"/>
    <col min="9223" max="9223" width="9" style="58" customWidth="1"/>
    <col min="9224" max="9224" width="56" style="58" customWidth="1"/>
    <col min="9225" max="9225" width="58" style="58" customWidth="1"/>
    <col min="9226" max="9226" width="43.6640625" style="58" customWidth="1"/>
    <col min="9227" max="9227" width="52" style="58" customWidth="1"/>
    <col min="9228" max="9472" width="9.109375" style="58"/>
    <col min="9473" max="9473" width="4.6640625" style="58" bestFit="1" customWidth="1"/>
    <col min="9474" max="9474" width="52.6640625" style="58" customWidth="1"/>
    <col min="9475" max="9475" width="40.5546875" style="58" bestFit="1" customWidth="1"/>
    <col min="9476" max="9476" width="4.5546875" style="58" bestFit="1" customWidth="1"/>
    <col min="9477" max="9477" width="5.88671875" style="58" bestFit="1" customWidth="1"/>
    <col min="9478" max="9478" width="9" style="58" bestFit="1" customWidth="1"/>
    <col min="9479" max="9479" width="9" style="58" customWidth="1"/>
    <col min="9480" max="9480" width="56" style="58" customWidth="1"/>
    <col min="9481" max="9481" width="58" style="58" customWidth="1"/>
    <col min="9482" max="9482" width="43.6640625" style="58" customWidth="1"/>
    <col min="9483" max="9483" width="52" style="58" customWidth="1"/>
    <col min="9484" max="9728" width="9.109375" style="58"/>
    <col min="9729" max="9729" width="4.6640625" style="58" bestFit="1" customWidth="1"/>
    <col min="9730" max="9730" width="52.6640625" style="58" customWidth="1"/>
    <col min="9731" max="9731" width="40.5546875" style="58" bestFit="1" customWidth="1"/>
    <col min="9732" max="9732" width="4.5546875" style="58" bestFit="1" customWidth="1"/>
    <col min="9733" max="9733" width="5.88671875" style="58" bestFit="1" customWidth="1"/>
    <col min="9734" max="9734" width="9" style="58" bestFit="1" customWidth="1"/>
    <col min="9735" max="9735" width="9" style="58" customWidth="1"/>
    <col min="9736" max="9736" width="56" style="58" customWidth="1"/>
    <col min="9737" max="9737" width="58" style="58" customWidth="1"/>
    <col min="9738" max="9738" width="43.6640625" style="58" customWidth="1"/>
    <col min="9739" max="9739" width="52" style="58" customWidth="1"/>
    <col min="9740" max="9984" width="9.109375" style="58"/>
    <col min="9985" max="9985" width="4.6640625" style="58" bestFit="1" customWidth="1"/>
    <col min="9986" max="9986" width="52.6640625" style="58" customWidth="1"/>
    <col min="9987" max="9987" width="40.5546875" style="58" bestFit="1" customWidth="1"/>
    <col min="9988" max="9988" width="4.5546875" style="58" bestFit="1" customWidth="1"/>
    <col min="9989" max="9989" width="5.88671875" style="58" bestFit="1" customWidth="1"/>
    <col min="9990" max="9990" width="9" style="58" bestFit="1" customWidth="1"/>
    <col min="9991" max="9991" width="9" style="58" customWidth="1"/>
    <col min="9992" max="9992" width="56" style="58" customWidth="1"/>
    <col min="9993" max="9993" width="58" style="58" customWidth="1"/>
    <col min="9994" max="9994" width="43.6640625" style="58" customWidth="1"/>
    <col min="9995" max="9995" width="52" style="58" customWidth="1"/>
    <col min="9996" max="10240" width="9.109375" style="58"/>
    <col min="10241" max="10241" width="4.6640625" style="58" bestFit="1" customWidth="1"/>
    <col min="10242" max="10242" width="52.6640625" style="58" customWidth="1"/>
    <col min="10243" max="10243" width="40.5546875" style="58" bestFit="1" customWidth="1"/>
    <col min="10244" max="10244" width="4.5546875" style="58" bestFit="1" customWidth="1"/>
    <col min="10245" max="10245" width="5.88671875" style="58" bestFit="1" customWidth="1"/>
    <col min="10246" max="10246" width="9" style="58" bestFit="1" customWidth="1"/>
    <col min="10247" max="10247" width="9" style="58" customWidth="1"/>
    <col min="10248" max="10248" width="56" style="58" customWidth="1"/>
    <col min="10249" max="10249" width="58" style="58" customWidth="1"/>
    <col min="10250" max="10250" width="43.6640625" style="58" customWidth="1"/>
    <col min="10251" max="10251" width="52" style="58" customWidth="1"/>
    <col min="10252" max="10496" width="9.109375" style="58"/>
    <col min="10497" max="10497" width="4.6640625" style="58" bestFit="1" customWidth="1"/>
    <col min="10498" max="10498" width="52.6640625" style="58" customWidth="1"/>
    <col min="10499" max="10499" width="40.5546875" style="58" bestFit="1" customWidth="1"/>
    <col min="10500" max="10500" width="4.5546875" style="58" bestFit="1" customWidth="1"/>
    <col min="10501" max="10501" width="5.88671875" style="58" bestFit="1" customWidth="1"/>
    <col min="10502" max="10502" width="9" style="58" bestFit="1" customWidth="1"/>
    <col min="10503" max="10503" width="9" style="58" customWidth="1"/>
    <col min="10504" max="10504" width="56" style="58" customWidth="1"/>
    <col min="10505" max="10505" width="58" style="58" customWidth="1"/>
    <col min="10506" max="10506" width="43.6640625" style="58" customWidth="1"/>
    <col min="10507" max="10507" width="52" style="58" customWidth="1"/>
    <col min="10508" max="10752" width="9.109375" style="58"/>
    <col min="10753" max="10753" width="4.6640625" style="58" bestFit="1" customWidth="1"/>
    <col min="10754" max="10754" width="52.6640625" style="58" customWidth="1"/>
    <col min="10755" max="10755" width="40.5546875" style="58" bestFit="1" customWidth="1"/>
    <col min="10756" max="10756" width="4.5546875" style="58" bestFit="1" customWidth="1"/>
    <col min="10757" max="10757" width="5.88671875" style="58" bestFit="1" customWidth="1"/>
    <col min="10758" max="10758" width="9" style="58" bestFit="1" customWidth="1"/>
    <col min="10759" max="10759" width="9" style="58" customWidth="1"/>
    <col min="10760" max="10760" width="56" style="58" customWidth="1"/>
    <col min="10761" max="10761" width="58" style="58" customWidth="1"/>
    <col min="10762" max="10762" width="43.6640625" style="58" customWidth="1"/>
    <col min="10763" max="10763" width="52" style="58" customWidth="1"/>
    <col min="10764" max="11008" width="9.109375" style="58"/>
    <col min="11009" max="11009" width="4.6640625" style="58" bestFit="1" customWidth="1"/>
    <col min="11010" max="11010" width="52.6640625" style="58" customWidth="1"/>
    <col min="11011" max="11011" width="40.5546875" style="58" bestFit="1" customWidth="1"/>
    <col min="11012" max="11012" width="4.5546875" style="58" bestFit="1" customWidth="1"/>
    <col min="11013" max="11013" width="5.88671875" style="58" bestFit="1" customWidth="1"/>
    <col min="11014" max="11014" width="9" style="58" bestFit="1" customWidth="1"/>
    <col min="11015" max="11015" width="9" style="58" customWidth="1"/>
    <col min="11016" max="11016" width="56" style="58" customWidth="1"/>
    <col min="11017" max="11017" width="58" style="58" customWidth="1"/>
    <col min="11018" max="11018" width="43.6640625" style="58" customWidth="1"/>
    <col min="11019" max="11019" width="52" style="58" customWidth="1"/>
    <col min="11020" max="11264" width="9.109375" style="58"/>
    <col min="11265" max="11265" width="4.6640625" style="58" bestFit="1" customWidth="1"/>
    <col min="11266" max="11266" width="52.6640625" style="58" customWidth="1"/>
    <col min="11267" max="11267" width="40.5546875" style="58" bestFit="1" customWidth="1"/>
    <col min="11268" max="11268" width="4.5546875" style="58" bestFit="1" customWidth="1"/>
    <col min="11269" max="11269" width="5.88671875" style="58" bestFit="1" customWidth="1"/>
    <col min="11270" max="11270" width="9" style="58" bestFit="1" customWidth="1"/>
    <col min="11271" max="11271" width="9" style="58" customWidth="1"/>
    <col min="11272" max="11272" width="56" style="58" customWidth="1"/>
    <col min="11273" max="11273" width="58" style="58" customWidth="1"/>
    <col min="11274" max="11274" width="43.6640625" style="58" customWidth="1"/>
    <col min="11275" max="11275" width="52" style="58" customWidth="1"/>
    <col min="11276" max="11520" width="9.109375" style="58"/>
    <col min="11521" max="11521" width="4.6640625" style="58" bestFit="1" customWidth="1"/>
    <col min="11522" max="11522" width="52.6640625" style="58" customWidth="1"/>
    <col min="11523" max="11523" width="40.5546875" style="58" bestFit="1" customWidth="1"/>
    <col min="11524" max="11524" width="4.5546875" style="58" bestFit="1" customWidth="1"/>
    <col min="11525" max="11525" width="5.88671875" style="58" bestFit="1" customWidth="1"/>
    <col min="11526" max="11526" width="9" style="58" bestFit="1" customWidth="1"/>
    <col min="11527" max="11527" width="9" style="58" customWidth="1"/>
    <col min="11528" max="11528" width="56" style="58" customWidth="1"/>
    <col min="11529" max="11529" width="58" style="58" customWidth="1"/>
    <col min="11530" max="11530" width="43.6640625" style="58" customWidth="1"/>
    <col min="11531" max="11531" width="52" style="58" customWidth="1"/>
    <col min="11532" max="11776" width="9.109375" style="58"/>
    <col min="11777" max="11777" width="4.6640625" style="58" bestFit="1" customWidth="1"/>
    <col min="11778" max="11778" width="52.6640625" style="58" customWidth="1"/>
    <col min="11779" max="11779" width="40.5546875" style="58" bestFit="1" customWidth="1"/>
    <col min="11780" max="11780" width="4.5546875" style="58" bestFit="1" customWidth="1"/>
    <col min="11781" max="11781" width="5.88671875" style="58" bestFit="1" customWidth="1"/>
    <col min="11782" max="11782" width="9" style="58" bestFit="1" customWidth="1"/>
    <col min="11783" max="11783" width="9" style="58" customWidth="1"/>
    <col min="11784" max="11784" width="56" style="58" customWidth="1"/>
    <col min="11785" max="11785" width="58" style="58" customWidth="1"/>
    <col min="11786" max="11786" width="43.6640625" style="58" customWidth="1"/>
    <col min="11787" max="11787" width="52" style="58" customWidth="1"/>
    <col min="11788" max="12032" width="9.109375" style="58"/>
    <col min="12033" max="12033" width="4.6640625" style="58" bestFit="1" customWidth="1"/>
    <col min="12034" max="12034" width="52.6640625" style="58" customWidth="1"/>
    <col min="12035" max="12035" width="40.5546875" style="58" bestFit="1" customWidth="1"/>
    <col min="12036" max="12036" width="4.5546875" style="58" bestFit="1" customWidth="1"/>
    <col min="12037" max="12037" width="5.88671875" style="58" bestFit="1" customWidth="1"/>
    <col min="12038" max="12038" width="9" style="58" bestFit="1" customWidth="1"/>
    <col min="12039" max="12039" width="9" style="58" customWidth="1"/>
    <col min="12040" max="12040" width="56" style="58" customWidth="1"/>
    <col min="12041" max="12041" width="58" style="58" customWidth="1"/>
    <col min="12042" max="12042" width="43.6640625" style="58" customWidth="1"/>
    <col min="12043" max="12043" width="52" style="58" customWidth="1"/>
    <col min="12044" max="12288" width="9.109375" style="58"/>
    <col min="12289" max="12289" width="4.6640625" style="58" bestFit="1" customWidth="1"/>
    <col min="12290" max="12290" width="52.6640625" style="58" customWidth="1"/>
    <col min="12291" max="12291" width="40.5546875" style="58" bestFit="1" customWidth="1"/>
    <col min="12292" max="12292" width="4.5546875" style="58" bestFit="1" customWidth="1"/>
    <col min="12293" max="12293" width="5.88671875" style="58" bestFit="1" customWidth="1"/>
    <col min="12294" max="12294" width="9" style="58" bestFit="1" customWidth="1"/>
    <col min="12295" max="12295" width="9" style="58" customWidth="1"/>
    <col min="12296" max="12296" width="56" style="58" customWidth="1"/>
    <col min="12297" max="12297" width="58" style="58" customWidth="1"/>
    <col min="12298" max="12298" width="43.6640625" style="58" customWidth="1"/>
    <col min="12299" max="12299" width="52" style="58" customWidth="1"/>
    <col min="12300" max="12544" width="9.109375" style="58"/>
    <col min="12545" max="12545" width="4.6640625" style="58" bestFit="1" customWidth="1"/>
    <col min="12546" max="12546" width="52.6640625" style="58" customWidth="1"/>
    <col min="12547" max="12547" width="40.5546875" style="58" bestFit="1" customWidth="1"/>
    <col min="12548" max="12548" width="4.5546875" style="58" bestFit="1" customWidth="1"/>
    <col min="12549" max="12549" width="5.88671875" style="58" bestFit="1" customWidth="1"/>
    <col min="12550" max="12550" width="9" style="58" bestFit="1" customWidth="1"/>
    <col min="12551" max="12551" width="9" style="58" customWidth="1"/>
    <col min="12552" max="12552" width="56" style="58" customWidth="1"/>
    <col min="12553" max="12553" width="58" style="58" customWidth="1"/>
    <col min="12554" max="12554" width="43.6640625" style="58" customWidth="1"/>
    <col min="12555" max="12555" width="52" style="58" customWidth="1"/>
    <col min="12556" max="12800" width="9.109375" style="58"/>
    <col min="12801" max="12801" width="4.6640625" style="58" bestFit="1" customWidth="1"/>
    <col min="12802" max="12802" width="52.6640625" style="58" customWidth="1"/>
    <col min="12803" max="12803" width="40.5546875" style="58" bestFit="1" customWidth="1"/>
    <col min="12804" max="12804" width="4.5546875" style="58" bestFit="1" customWidth="1"/>
    <col min="12805" max="12805" width="5.88671875" style="58" bestFit="1" customWidth="1"/>
    <col min="12806" max="12806" width="9" style="58" bestFit="1" customWidth="1"/>
    <col min="12807" max="12807" width="9" style="58" customWidth="1"/>
    <col min="12808" max="12808" width="56" style="58" customWidth="1"/>
    <col min="12809" max="12809" width="58" style="58" customWidth="1"/>
    <col min="12810" max="12810" width="43.6640625" style="58" customWidth="1"/>
    <col min="12811" max="12811" width="52" style="58" customWidth="1"/>
    <col min="12812" max="13056" width="9.109375" style="58"/>
    <col min="13057" max="13057" width="4.6640625" style="58" bestFit="1" customWidth="1"/>
    <col min="13058" max="13058" width="52.6640625" style="58" customWidth="1"/>
    <col min="13059" max="13059" width="40.5546875" style="58" bestFit="1" customWidth="1"/>
    <col min="13060" max="13060" width="4.5546875" style="58" bestFit="1" customWidth="1"/>
    <col min="13061" max="13061" width="5.88671875" style="58" bestFit="1" customWidth="1"/>
    <col min="13062" max="13062" width="9" style="58" bestFit="1" customWidth="1"/>
    <col min="13063" max="13063" width="9" style="58" customWidth="1"/>
    <col min="13064" max="13064" width="56" style="58" customWidth="1"/>
    <col min="13065" max="13065" width="58" style="58" customWidth="1"/>
    <col min="13066" max="13066" width="43.6640625" style="58" customWidth="1"/>
    <col min="13067" max="13067" width="52" style="58" customWidth="1"/>
    <col min="13068" max="13312" width="9.109375" style="58"/>
    <col min="13313" max="13313" width="4.6640625" style="58" bestFit="1" customWidth="1"/>
    <col min="13314" max="13314" width="52.6640625" style="58" customWidth="1"/>
    <col min="13315" max="13315" width="40.5546875" style="58" bestFit="1" customWidth="1"/>
    <col min="13316" max="13316" width="4.5546875" style="58" bestFit="1" customWidth="1"/>
    <col min="13317" max="13317" width="5.88671875" style="58" bestFit="1" customWidth="1"/>
    <col min="13318" max="13318" width="9" style="58" bestFit="1" customWidth="1"/>
    <col min="13319" max="13319" width="9" style="58" customWidth="1"/>
    <col min="13320" max="13320" width="56" style="58" customWidth="1"/>
    <col min="13321" max="13321" width="58" style="58" customWidth="1"/>
    <col min="13322" max="13322" width="43.6640625" style="58" customWidth="1"/>
    <col min="13323" max="13323" width="52" style="58" customWidth="1"/>
    <col min="13324" max="13568" width="9.109375" style="58"/>
    <col min="13569" max="13569" width="4.6640625" style="58" bestFit="1" customWidth="1"/>
    <col min="13570" max="13570" width="52.6640625" style="58" customWidth="1"/>
    <col min="13571" max="13571" width="40.5546875" style="58" bestFit="1" customWidth="1"/>
    <col min="13572" max="13572" width="4.5546875" style="58" bestFit="1" customWidth="1"/>
    <col min="13573" max="13573" width="5.88671875" style="58" bestFit="1" customWidth="1"/>
    <col min="13574" max="13574" width="9" style="58" bestFit="1" customWidth="1"/>
    <col min="13575" max="13575" width="9" style="58" customWidth="1"/>
    <col min="13576" max="13576" width="56" style="58" customWidth="1"/>
    <col min="13577" max="13577" width="58" style="58" customWidth="1"/>
    <col min="13578" max="13578" width="43.6640625" style="58" customWidth="1"/>
    <col min="13579" max="13579" width="52" style="58" customWidth="1"/>
    <col min="13580" max="13824" width="9.109375" style="58"/>
    <col min="13825" max="13825" width="4.6640625" style="58" bestFit="1" customWidth="1"/>
    <col min="13826" max="13826" width="52.6640625" style="58" customWidth="1"/>
    <col min="13827" max="13827" width="40.5546875" style="58" bestFit="1" customWidth="1"/>
    <col min="13828" max="13828" width="4.5546875" style="58" bestFit="1" customWidth="1"/>
    <col min="13829" max="13829" width="5.88671875" style="58" bestFit="1" customWidth="1"/>
    <col min="13830" max="13830" width="9" style="58" bestFit="1" customWidth="1"/>
    <col min="13831" max="13831" width="9" style="58" customWidth="1"/>
    <col min="13832" max="13832" width="56" style="58" customWidth="1"/>
    <col min="13833" max="13833" width="58" style="58" customWidth="1"/>
    <col min="13834" max="13834" width="43.6640625" style="58" customWidth="1"/>
    <col min="13835" max="13835" width="52" style="58" customWidth="1"/>
    <col min="13836" max="14080" width="9.109375" style="58"/>
    <col min="14081" max="14081" width="4.6640625" style="58" bestFit="1" customWidth="1"/>
    <col min="14082" max="14082" width="52.6640625" style="58" customWidth="1"/>
    <col min="14083" max="14083" width="40.5546875" style="58" bestFit="1" customWidth="1"/>
    <col min="14084" max="14084" width="4.5546875" style="58" bestFit="1" customWidth="1"/>
    <col min="14085" max="14085" width="5.88671875" style="58" bestFit="1" customWidth="1"/>
    <col min="14086" max="14086" width="9" style="58" bestFit="1" customWidth="1"/>
    <col min="14087" max="14087" width="9" style="58" customWidth="1"/>
    <col min="14088" max="14088" width="56" style="58" customWidth="1"/>
    <col min="14089" max="14089" width="58" style="58" customWidth="1"/>
    <col min="14090" max="14090" width="43.6640625" style="58" customWidth="1"/>
    <col min="14091" max="14091" width="52" style="58" customWidth="1"/>
    <col min="14092" max="14336" width="9.109375" style="58"/>
    <col min="14337" max="14337" width="4.6640625" style="58" bestFit="1" customWidth="1"/>
    <col min="14338" max="14338" width="52.6640625" style="58" customWidth="1"/>
    <col min="14339" max="14339" width="40.5546875" style="58" bestFit="1" customWidth="1"/>
    <col min="14340" max="14340" width="4.5546875" style="58" bestFit="1" customWidth="1"/>
    <col min="14341" max="14341" width="5.88671875" style="58" bestFit="1" customWidth="1"/>
    <col min="14342" max="14342" width="9" style="58" bestFit="1" customWidth="1"/>
    <col min="14343" max="14343" width="9" style="58" customWidth="1"/>
    <col min="14344" max="14344" width="56" style="58" customWidth="1"/>
    <col min="14345" max="14345" width="58" style="58" customWidth="1"/>
    <col min="14346" max="14346" width="43.6640625" style="58" customWidth="1"/>
    <col min="14347" max="14347" width="52" style="58" customWidth="1"/>
    <col min="14348" max="14592" width="9.109375" style="58"/>
    <col min="14593" max="14593" width="4.6640625" style="58" bestFit="1" customWidth="1"/>
    <col min="14594" max="14594" width="52.6640625" style="58" customWidth="1"/>
    <col min="14595" max="14595" width="40.5546875" style="58" bestFit="1" customWidth="1"/>
    <col min="14596" max="14596" width="4.5546875" style="58" bestFit="1" customWidth="1"/>
    <col min="14597" max="14597" width="5.88671875" style="58" bestFit="1" customWidth="1"/>
    <col min="14598" max="14598" width="9" style="58" bestFit="1" customWidth="1"/>
    <col min="14599" max="14599" width="9" style="58" customWidth="1"/>
    <col min="14600" max="14600" width="56" style="58" customWidth="1"/>
    <col min="14601" max="14601" width="58" style="58" customWidth="1"/>
    <col min="14602" max="14602" width="43.6640625" style="58" customWidth="1"/>
    <col min="14603" max="14603" width="52" style="58" customWidth="1"/>
    <col min="14604" max="14848" width="9.109375" style="58"/>
    <col min="14849" max="14849" width="4.6640625" style="58" bestFit="1" customWidth="1"/>
    <col min="14850" max="14850" width="52.6640625" style="58" customWidth="1"/>
    <col min="14851" max="14851" width="40.5546875" style="58" bestFit="1" customWidth="1"/>
    <col min="14852" max="14852" width="4.5546875" style="58" bestFit="1" customWidth="1"/>
    <col min="14853" max="14853" width="5.88671875" style="58" bestFit="1" customWidth="1"/>
    <col min="14854" max="14854" width="9" style="58" bestFit="1" customWidth="1"/>
    <col min="14855" max="14855" width="9" style="58" customWidth="1"/>
    <col min="14856" max="14856" width="56" style="58" customWidth="1"/>
    <col min="14857" max="14857" width="58" style="58" customWidth="1"/>
    <col min="14858" max="14858" width="43.6640625" style="58" customWidth="1"/>
    <col min="14859" max="14859" width="52" style="58" customWidth="1"/>
    <col min="14860" max="15104" width="9.109375" style="58"/>
    <col min="15105" max="15105" width="4.6640625" style="58" bestFit="1" customWidth="1"/>
    <col min="15106" max="15106" width="52.6640625" style="58" customWidth="1"/>
    <col min="15107" max="15107" width="40.5546875" style="58" bestFit="1" customWidth="1"/>
    <col min="15108" max="15108" width="4.5546875" style="58" bestFit="1" customWidth="1"/>
    <col min="15109" max="15109" width="5.88671875" style="58" bestFit="1" customWidth="1"/>
    <col min="15110" max="15110" width="9" style="58" bestFit="1" customWidth="1"/>
    <col min="15111" max="15111" width="9" style="58" customWidth="1"/>
    <col min="15112" max="15112" width="56" style="58" customWidth="1"/>
    <col min="15113" max="15113" width="58" style="58" customWidth="1"/>
    <col min="15114" max="15114" width="43.6640625" style="58" customWidth="1"/>
    <col min="15115" max="15115" width="52" style="58" customWidth="1"/>
    <col min="15116" max="15360" width="9.109375" style="58"/>
    <col min="15361" max="15361" width="4.6640625" style="58" bestFit="1" customWidth="1"/>
    <col min="15362" max="15362" width="52.6640625" style="58" customWidth="1"/>
    <col min="15363" max="15363" width="40.5546875" style="58" bestFit="1" customWidth="1"/>
    <col min="15364" max="15364" width="4.5546875" style="58" bestFit="1" customWidth="1"/>
    <col min="15365" max="15365" width="5.88671875" style="58" bestFit="1" customWidth="1"/>
    <col min="15366" max="15366" width="9" style="58" bestFit="1" customWidth="1"/>
    <col min="15367" max="15367" width="9" style="58" customWidth="1"/>
    <col min="15368" max="15368" width="56" style="58" customWidth="1"/>
    <col min="15369" max="15369" width="58" style="58" customWidth="1"/>
    <col min="15370" max="15370" width="43.6640625" style="58" customWidth="1"/>
    <col min="15371" max="15371" width="52" style="58" customWidth="1"/>
    <col min="15372" max="15616" width="9.109375" style="58"/>
    <col min="15617" max="15617" width="4.6640625" style="58" bestFit="1" customWidth="1"/>
    <col min="15618" max="15618" width="52.6640625" style="58" customWidth="1"/>
    <col min="15619" max="15619" width="40.5546875" style="58" bestFit="1" customWidth="1"/>
    <col min="15620" max="15620" width="4.5546875" style="58" bestFit="1" customWidth="1"/>
    <col min="15621" max="15621" width="5.88671875" style="58" bestFit="1" customWidth="1"/>
    <col min="15622" max="15622" width="9" style="58" bestFit="1" customWidth="1"/>
    <col min="15623" max="15623" width="9" style="58" customWidth="1"/>
    <col min="15624" max="15624" width="56" style="58" customWidth="1"/>
    <col min="15625" max="15625" width="58" style="58" customWidth="1"/>
    <col min="15626" max="15626" width="43.6640625" style="58" customWidth="1"/>
    <col min="15627" max="15627" width="52" style="58" customWidth="1"/>
    <col min="15628" max="15872" width="9.109375" style="58"/>
    <col min="15873" max="15873" width="4.6640625" style="58" bestFit="1" customWidth="1"/>
    <col min="15874" max="15874" width="52.6640625" style="58" customWidth="1"/>
    <col min="15875" max="15875" width="40.5546875" style="58" bestFit="1" customWidth="1"/>
    <col min="15876" max="15876" width="4.5546875" style="58" bestFit="1" customWidth="1"/>
    <col min="15877" max="15877" width="5.88671875" style="58" bestFit="1" customWidth="1"/>
    <col min="15878" max="15878" width="9" style="58" bestFit="1" customWidth="1"/>
    <col min="15879" max="15879" width="9" style="58" customWidth="1"/>
    <col min="15880" max="15880" width="56" style="58" customWidth="1"/>
    <col min="15881" max="15881" width="58" style="58" customWidth="1"/>
    <col min="15882" max="15882" width="43.6640625" style="58" customWidth="1"/>
    <col min="15883" max="15883" width="52" style="58" customWidth="1"/>
    <col min="15884" max="16128" width="9.109375" style="58"/>
    <col min="16129" max="16129" width="4.6640625" style="58" bestFit="1" customWidth="1"/>
    <col min="16130" max="16130" width="52.6640625" style="58" customWidth="1"/>
    <col min="16131" max="16131" width="40.5546875" style="58" bestFit="1" customWidth="1"/>
    <col min="16132" max="16132" width="4.5546875" style="58" bestFit="1" customWidth="1"/>
    <col min="16133" max="16133" width="5.88671875" style="58" bestFit="1" customWidth="1"/>
    <col min="16134" max="16134" width="9" style="58" bestFit="1" customWidth="1"/>
    <col min="16135" max="16135" width="9" style="58" customWidth="1"/>
    <col min="16136" max="16136" width="56" style="58" customWidth="1"/>
    <col min="16137" max="16137" width="58" style="58" customWidth="1"/>
    <col min="16138" max="16138" width="43.6640625" style="58" customWidth="1"/>
    <col min="16139" max="16139" width="52" style="58" customWidth="1"/>
    <col min="16140" max="16384" width="9.109375" style="58"/>
  </cols>
  <sheetData>
    <row r="1" spans="1:10" ht="28.5" customHeight="1" x14ac:dyDescent="0.5">
      <c r="A1" s="1" t="s">
        <v>436</v>
      </c>
      <c r="B1" s="2"/>
      <c r="C1" s="2"/>
      <c r="D1" s="2"/>
      <c r="E1" s="2"/>
      <c r="F1" s="3"/>
      <c r="G1" s="2"/>
      <c r="H1" s="4"/>
      <c r="I1" s="5"/>
    </row>
    <row r="2" spans="1:10" x14ac:dyDescent="0.3">
      <c r="A2" s="59"/>
      <c r="B2" s="60"/>
      <c r="C2" s="60"/>
      <c r="D2" s="60"/>
      <c r="E2" s="60"/>
      <c r="G2" s="60"/>
      <c r="H2" s="62"/>
      <c r="I2" s="60"/>
    </row>
    <row r="3" spans="1:10" x14ac:dyDescent="0.3">
      <c r="A3" s="59"/>
      <c r="B3" s="60"/>
      <c r="C3" s="60"/>
      <c r="D3" s="60"/>
      <c r="E3" s="60"/>
      <c r="G3" s="60"/>
      <c r="H3" s="62"/>
      <c r="I3" s="60"/>
    </row>
    <row r="4" spans="1:10" s="64" customFormat="1" ht="21" x14ac:dyDescent="0.3">
      <c r="A4" s="451" t="s">
        <v>355</v>
      </c>
      <c r="B4" s="452"/>
      <c r="C4" s="452"/>
      <c r="D4" s="453"/>
      <c r="E4" s="454"/>
      <c r="F4" s="73"/>
      <c r="G4" s="455"/>
      <c r="H4" s="456"/>
      <c r="I4" s="456"/>
      <c r="J4" s="456"/>
    </row>
    <row r="5" spans="1:10" x14ac:dyDescent="0.3">
      <c r="A5" s="59"/>
      <c r="B5" s="60"/>
      <c r="C5" s="60"/>
      <c r="D5" s="60"/>
      <c r="E5" s="60"/>
      <c r="G5" s="60"/>
      <c r="H5" s="62"/>
      <c r="I5" s="60"/>
    </row>
    <row r="6" spans="1:10" ht="24.6" x14ac:dyDescent="0.4">
      <c r="A6" s="490" t="s">
        <v>349</v>
      </c>
      <c r="B6" s="491"/>
      <c r="C6" s="492"/>
      <c r="D6" s="6"/>
      <c r="E6" s="7"/>
      <c r="F6" s="8"/>
      <c r="G6" s="9"/>
      <c r="H6" s="10"/>
      <c r="I6" s="9"/>
      <c r="J6" s="10"/>
    </row>
    <row r="7" spans="1:10" x14ac:dyDescent="0.3">
      <c r="A7" s="11"/>
      <c r="B7" s="12"/>
      <c r="C7" s="12"/>
      <c r="D7" s="13"/>
      <c r="E7" s="13"/>
      <c r="F7" s="14"/>
      <c r="G7" s="13"/>
      <c r="H7" s="15"/>
      <c r="I7" s="16" t="s">
        <v>0</v>
      </c>
      <c r="J7" s="17"/>
    </row>
    <row r="8" spans="1:10" ht="21" x14ac:dyDescent="0.4">
      <c r="A8" s="486" t="s">
        <v>147</v>
      </c>
      <c r="B8" s="487"/>
      <c r="C8" s="488"/>
      <c r="D8" s="13"/>
      <c r="E8" s="17"/>
      <c r="F8" s="18"/>
      <c r="G8" s="19"/>
      <c r="H8" s="20"/>
      <c r="I8" s="21">
        <f>SUM(F9:F16)</f>
        <v>453</v>
      </c>
      <c r="J8" s="22"/>
    </row>
    <row r="9" spans="1:10" x14ac:dyDescent="0.3">
      <c r="A9" s="13"/>
      <c r="B9" s="23" t="s">
        <v>2</v>
      </c>
      <c r="C9" s="23" t="s">
        <v>3</v>
      </c>
      <c r="D9" s="24" t="s">
        <v>4</v>
      </c>
      <c r="E9" s="25" t="s">
        <v>5</v>
      </c>
      <c r="F9" s="26" t="s">
        <v>6</v>
      </c>
      <c r="G9" s="24" t="s">
        <v>7</v>
      </c>
      <c r="H9" s="27" t="s">
        <v>8</v>
      </c>
      <c r="I9" s="23" t="s">
        <v>9</v>
      </c>
      <c r="J9" s="28" t="s">
        <v>10</v>
      </c>
    </row>
    <row r="10" spans="1:10" x14ac:dyDescent="0.3">
      <c r="A10" s="13"/>
      <c r="B10" s="29" t="s">
        <v>11</v>
      </c>
      <c r="C10" s="30"/>
      <c r="D10" s="30"/>
      <c r="E10" s="31"/>
      <c r="F10" s="32"/>
      <c r="G10" s="30"/>
      <c r="H10" s="31"/>
      <c r="I10" s="33"/>
      <c r="J10" s="34"/>
    </row>
    <row r="11" spans="1:10" x14ac:dyDescent="0.3">
      <c r="A11" s="13"/>
      <c r="B11" s="44" t="s">
        <v>28</v>
      </c>
      <c r="C11" s="39" t="s">
        <v>29</v>
      </c>
      <c r="D11" s="37" t="s">
        <v>30</v>
      </c>
      <c r="E11" s="37">
        <v>3</v>
      </c>
      <c r="F11" s="38">
        <v>55</v>
      </c>
      <c r="G11" s="14"/>
      <c r="H11" s="39" t="s">
        <v>129</v>
      </c>
      <c r="I11" s="40" t="s">
        <v>130</v>
      </c>
      <c r="J11" s="41"/>
    </row>
    <row r="12" spans="1:10" x14ac:dyDescent="0.25">
      <c r="A12" s="42"/>
      <c r="B12" s="35" t="s">
        <v>41</v>
      </c>
      <c r="C12" s="36" t="s">
        <v>12</v>
      </c>
      <c r="D12" s="37" t="s">
        <v>30</v>
      </c>
      <c r="E12" s="37">
        <v>3</v>
      </c>
      <c r="F12" s="38">
        <v>111</v>
      </c>
      <c r="G12" s="14"/>
      <c r="H12" s="39" t="s">
        <v>131</v>
      </c>
      <c r="I12" s="43" t="s">
        <v>135</v>
      </c>
      <c r="J12" s="38"/>
    </row>
    <row r="13" spans="1:10" x14ac:dyDescent="0.25">
      <c r="A13" s="42"/>
      <c r="B13" s="44" t="s">
        <v>43</v>
      </c>
      <c r="C13" s="44" t="s">
        <v>12</v>
      </c>
      <c r="D13" s="37" t="s">
        <v>30</v>
      </c>
      <c r="E13" s="37">
        <v>3</v>
      </c>
      <c r="F13" s="38">
        <v>177</v>
      </c>
      <c r="G13" s="14"/>
      <c r="H13" s="39" t="s">
        <v>133</v>
      </c>
      <c r="I13" s="43" t="s">
        <v>134</v>
      </c>
      <c r="J13" s="38"/>
    </row>
    <row r="14" spans="1:10" x14ac:dyDescent="0.25">
      <c r="A14" s="42"/>
      <c r="B14" s="44" t="s">
        <v>42</v>
      </c>
      <c r="C14" s="39" t="s">
        <v>18</v>
      </c>
      <c r="D14" s="37" t="s">
        <v>30</v>
      </c>
      <c r="E14" s="37">
        <v>3</v>
      </c>
      <c r="F14" s="38">
        <v>110</v>
      </c>
      <c r="G14" s="14"/>
      <c r="H14" s="39" t="s">
        <v>131</v>
      </c>
      <c r="I14" s="43" t="s">
        <v>440</v>
      </c>
      <c r="J14" s="38"/>
    </row>
    <row r="15" spans="1:10" x14ac:dyDescent="0.25">
      <c r="A15" s="42"/>
      <c r="B15" s="44"/>
      <c r="C15" s="44"/>
      <c r="D15" s="37"/>
      <c r="E15" s="37"/>
      <c r="F15" s="38"/>
      <c r="G15" s="14"/>
      <c r="H15" s="39"/>
      <c r="I15" s="43"/>
      <c r="J15" s="38"/>
    </row>
    <row r="16" spans="1:10" x14ac:dyDescent="0.3">
      <c r="A16" s="11"/>
      <c r="B16" s="12"/>
      <c r="C16" s="12"/>
      <c r="D16" s="13"/>
      <c r="E16" s="13"/>
      <c r="F16" s="14"/>
      <c r="G16" s="13"/>
      <c r="H16" s="15"/>
      <c r="I16" s="16" t="s">
        <v>0</v>
      </c>
      <c r="J16" s="17"/>
    </row>
    <row r="17" spans="1:10" ht="21" x14ac:dyDescent="0.4">
      <c r="A17" s="486" t="s">
        <v>148</v>
      </c>
      <c r="B17" s="487"/>
      <c r="C17" s="488"/>
      <c r="D17" s="13"/>
      <c r="E17" s="17"/>
      <c r="F17" s="18"/>
      <c r="G17" s="19"/>
      <c r="H17" s="20"/>
      <c r="I17" s="21">
        <f>SUM(F20:F21)</f>
        <v>0</v>
      </c>
      <c r="J17" s="22"/>
    </row>
    <row r="18" spans="1:10" x14ac:dyDescent="0.3">
      <c r="A18" s="13"/>
      <c r="B18" s="23" t="s">
        <v>2</v>
      </c>
      <c r="C18" s="23" t="s">
        <v>3</v>
      </c>
      <c r="D18" s="24" t="s">
        <v>4</v>
      </c>
      <c r="E18" s="25" t="s">
        <v>5</v>
      </c>
      <c r="F18" s="26" t="s">
        <v>6</v>
      </c>
      <c r="G18" s="24" t="s">
        <v>7</v>
      </c>
      <c r="H18" s="27" t="s">
        <v>8</v>
      </c>
      <c r="I18" s="23" t="s">
        <v>9</v>
      </c>
      <c r="J18" s="28" t="s">
        <v>10</v>
      </c>
    </row>
    <row r="19" spans="1:10" x14ac:dyDescent="0.3">
      <c r="A19" s="13"/>
      <c r="B19" s="29" t="s">
        <v>11</v>
      </c>
      <c r="C19" s="30"/>
      <c r="D19" s="30"/>
      <c r="E19" s="31"/>
      <c r="F19" s="32"/>
      <c r="G19" s="30"/>
      <c r="H19" s="31"/>
      <c r="I19" s="33"/>
      <c r="J19" s="34"/>
    </row>
    <row r="20" spans="1:10" x14ac:dyDescent="0.25">
      <c r="A20" s="42"/>
      <c r="B20" s="44" t="s">
        <v>152</v>
      </c>
      <c r="C20" s="39"/>
      <c r="D20" s="37"/>
      <c r="E20" s="37"/>
      <c r="F20" s="38"/>
      <c r="G20" s="14"/>
      <c r="H20" s="39"/>
      <c r="I20" s="43"/>
      <c r="J20" s="38"/>
    </row>
    <row r="21" spans="1:10" x14ac:dyDescent="0.25">
      <c r="A21" s="42"/>
      <c r="B21" s="44"/>
      <c r="C21" s="44"/>
      <c r="D21" s="37"/>
      <c r="E21" s="37"/>
      <c r="F21" s="38"/>
      <c r="G21" s="14"/>
      <c r="H21" s="39"/>
      <c r="I21" s="43"/>
      <c r="J21" s="38"/>
    </row>
    <row r="22" spans="1:10" x14ac:dyDescent="0.3">
      <c r="A22" s="11"/>
      <c r="B22" s="12"/>
      <c r="C22" s="12"/>
      <c r="D22" s="13"/>
      <c r="E22" s="13"/>
      <c r="F22" s="14"/>
      <c r="G22" s="13"/>
      <c r="H22" s="47" t="s">
        <v>14</v>
      </c>
      <c r="I22" s="17"/>
      <c r="J22" s="17"/>
    </row>
    <row r="23" spans="1:10" s="63" customFormat="1" ht="21" x14ac:dyDescent="0.4">
      <c r="A23" s="489" t="s">
        <v>127</v>
      </c>
      <c r="B23" s="489"/>
      <c r="C23" s="489"/>
      <c r="D23" s="13"/>
      <c r="E23" s="17"/>
      <c r="F23" s="18"/>
      <c r="G23" s="19"/>
      <c r="H23" s="48">
        <f>SUM(F26:F27)</f>
        <v>852</v>
      </c>
      <c r="I23" s="14"/>
      <c r="J23" s="28"/>
    </row>
    <row r="24" spans="1:10" x14ac:dyDescent="0.3">
      <c r="A24" s="13"/>
      <c r="B24" s="23" t="s">
        <v>2</v>
      </c>
      <c r="C24" s="23" t="s">
        <v>3</v>
      </c>
      <c r="D24" s="24" t="s">
        <v>4</v>
      </c>
      <c r="E24" s="25" t="s">
        <v>5</v>
      </c>
      <c r="F24" s="26" t="s">
        <v>6</v>
      </c>
      <c r="G24" s="24" t="s">
        <v>7</v>
      </c>
      <c r="H24" s="27" t="s">
        <v>8</v>
      </c>
      <c r="I24" s="23" t="s">
        <v>9</v>
      </c>
      <c r="J24" s="28"/>
    </row>
    <row r="25" spans="1:10" x14ac:dyDescent="0.3">
      <c r="A25" s="13"/>
      <c r="B25" s="29" t="s">
        <v>11</v>
      </c>
      <c r="C25" s="30"/>
      <c r="D25" s="30"/>
      <c r="E25" s="31"/>
      <c r="F25" s="32"/>
      <c r="G25" s="49"/>
      <c r="H25" s="50"/>
      <c r="I25" s="33"/>
      <c r="J25" s="34"/>
    </row>
    <row r="26" spans="1:10" ht="106.8" customHeight="1" x14ac:dyDescent="0.25">
      <c r="A26" s="42"/>
      <c r="B26" s="45" t="s">
        <v>103</v>
      </c>
      <c r="C26" s="45" t="s">
        <v>95</v>
      </c>
      <c r="D26" s="113" t="s">
        <v>15</v>
      </c>
      <c r="E26" s="113">
        <v>2</v>
      </c>
      <c r="F26" s="14">
        <f>624+228</f>
        <v>852</v>
      </c>
      <c r="G26" s="37"/>
      <c r="H26" s="19" t="s">
        <v>123</v>
      </c>
      <c r="I26" s="131" t="s">
        <v>384</v>
      </c>
      <c r="J26" s="38"/>
    </row>
    <row r="27" spans="1:10" x14ac:dyDescent="0.25">
      <c r="A27" s="42"/>
      <c r="B27" s="44"/>
      <c r="C27" s="44"/>
      <c r="D27" s="42"/>
      <c r="E27" s="42"/>
      <c r="F27" s="26"/>
      <c r="G27" s="26"/>
      <c r="H27" s="39"/>
      <c r="I27" s="53"/>
      <c r="J27" s="38"/>
    </row>
    <row r="28" spans="1:10" x14ac:dyDescent="0.25">
      <c r="A28" s="42"/>
      <c r="B28" s="51"/>
      <c r="C28" s="52"/>
      <c r="D28" s="37"/>
      <c r="E28" s="37"/>
      <c r="F28" s="26"/>
      <c r="G28" s="26"/>
      <c r="H28" s="39"/>
      <c r="I28" s="53"/>
      <c r="J28" s="38"/>
    </row>
    <row r="29" spans="1:10" s="63" customFormat="1" ht="21" x14ac:dyDescent="0.4">
      <c r="A29" s="489" t="s">
        <v>385</v>
      </c>
      <c r="B29" s="489"/>
      <c r="C29" s="489"/>
      <c r="D29" s="13"/>
      <c r="E29" s="17"/>
      <c r="F29" s="18"/>
      <c r="G29" s="19"/>
      <c r="H29" s="48">
        <f>SUM(F32:F37)</f>
        <v>594</v>
      </c>
      <c r="I29" s="14"/>
      <c r="J29" s="28"/>
    </row>
    <row r="30" spans="1:10" x14ac:dyDescent="0.3">
      <c r="A30" s="13"/>
      <c r="B30" s="23" t="s">
        <v>2</v>
      </c>
      <c r="C30" s="23" t="s">
        <v>3</v>
      </c>
      <c r="D30" s="24" t="s">
        <v>4</v>
      </c>
      <c r="E30" s="25" t="s">
        <v>5</v>
      </c>
      <c r="F30" s="26" t="s">
        <v>6</v>
      </c>
      <c r="G30" s="24" t="s">
        <v>7</v>
      </c>
      <c r="H30" s="27" t="s">
        <v>8</v>
      </c>
      <c r="I30" s="23" t="s">
        <v>9</v>
      </c>
      <c r="J30" s="28"/>
    </row>
    <row r="31" spans="1:10" x14ac:dyDescent="0.3">
      <c r="A31" s="13"/>
      <c r="B31" s="29" t="s">
        <v>11</v>
      </c>
      <c r="C31" s="30"/>
      <c r="D31" s="30"/>
      <c r="E31" s="31"/>
      <c r="F31" s="32"/>
      <c r="G31" s="49"/>
      <c r="H31" s="50"/>
      <c r="I31" s="33"/>
      <c r="J31" s="34"/>
    </row>
    <row r="32" spans="1:10" x14ac:dyDescent="0.25">
      <c r="A32" s="42"/>
      <c r="B32" s="109" t="s">
        <v>24</v>
      </c>
      <c r="C32" s="109" t="s">
        <v>25</v>
      </c>
      <c r="D32" s="42" t="s">
        <v>15</v>
      </c>
      <c r="E32" s="42">
        <v>2</v>
      </c>
      <c r="F32" s="26">
        <v>120</v>
      </c>
      <c r="G32" s="26"/>
      <c r="H32" s="39" t="s">
        <v>157</v>
      </c>
      <c r="I32" s="53" t="s">
        <v>364</v>
      </c>
      <c r="J32" s="38"/>
    </row>
    <row r="33" spans="1:10" x14ac:dyDescent="0.25">
      <c r="A33" s="42"/>
      <c r="B33" s="44" t="s">
        <v>31</v>
      </c>
      <c r="C33" s="44" t="s">
        <v>32</v>
      </c>
      <c r="D33" s="42" t="s">
        <v>15</v>
      </c>
      <c r="E33" s="42">
        <v>2</v>
      </c>
      <c r="F33" s="26">
        <v>61</v>
      </c>
      <c r="G33" s="26"/>
      <c r="H33" s="39" t="s">
        <v>159</v>
      </c>
      <c r="I33" s="53" t="s">
        <v>204</v>
      </c>
      <c r="J33" s="38"/>
    </row>
    <row r="34" spans="1:10" x14ac:dyDescent="0.25">
      <c r="A34" s="42"/>
      <c r="B34" s="44" t="s">
        <v>33</v>
      </c>
      <c r="C34" s="44" t="s">
        <v>34</v>
      </c>
      <c r="D34" s="42" t="s">
        <v>15</v>
      </c>
      <c r="E34" s="42">
        <v>2</v>
      </c>
      <c r="F34" s="26">
        <v>252</v>
      </c>
      <c r="G34" s="26"/>
      <c r="H34" s="39" t="s">
        <v>158</v>
      </c>
      <c r="I34" s="53" t="s">
        <v>365</v>
      </c>
      <c r="J34" s="38"/>
    </row>
    <row r="35" spans="1:10" x14ac:dyDescent="0.25">
      <c r="A35" s="42"/>
      <c r="B35" s="39" t="s">
        <v>35</v>
      </c>
      <c r="C35" s="39" t="s">
        <v>36</v>
      </c>
      <c r="D35" s="37" t="s">
        <v>15</v>
      </c>
      <c r="E35" s="37">
        <v>2</v>
      </c>
      <c r="F35" s="26">
        <v>161</v>
      </c>
      <c r="G35" s="26"/>
      <c r="H35" s="39" t="s">
        <v>160</v>
      </c>
      <c r="I35" s="53" t="s">
        <v>362</v>
      </c>
      <c r="J35" s="38"/>
    </row>
    <row r="36" spans="1:10" x14ac:dyDescent="0.25">
      <c r="A36" s="42"/>
      <c r="B36" s="522"/>
      <c r="C36" s="523"/>
      <c r="D36" s="524"/>
      <c r="E36" s="524"/>
      <c r="F36" s="477"/>
      <c r="G36" s="477"/>
      <c r="H36" s="479"/>
      <c r="I36" s="525"/>
      <c r="J36" s="38"/>
    </row>
    <row r="37" spans="1:10" x14ac:dyDescent="0.25">
      <c r="A37" s="42"/>
      <c r="B37" s="44"/>
      <c r="C37" s="44"/>
      <c r="D37" s="42"/>
      <c r="E37" s="42"/>
      <c r="F37" s="26"/>
      <c r="G37" s="26"/>
      <c r="H37" s="39"/>
      <c r="I37" s="53"/>
      <c r="J37" s="38"/>
    </row>
    <row r="38" spans="1:10" x14ac:dyDescent="0.25">
      <c r="A38" s="42"/>
      <c r="B38" s="44"/>
      <c r="C38" s="44"/>
      <c r="D38" s="37"/>
      <c r="E38" s="37"/>
      <c r="F38" s="38"/>
      <c r="G38" s="26"/>
      <c r="H38" s="54"/>
      <c r="I38" s="53"/>
      <c r="J38" s="38"/>
    </row>
    <row r="39" spans="1:10" s="63" customFormat="1" ht="21" x14ac:dyDescent="0.4">
      <c r="A39" s="489" t="s">
        <v>380</v>
      </c>
      <c r="B39" s="489"/>
      <c r="C39" s="489"/>
      <c r="D39" s="13"/>
      <c r="E39" s="17"/>
      <c r="F39" s="18"/>
      <c r="G39" s="19"/>
      <c r="H39" s="48">
        <f>SUM(F42:F45)</f>
        <v>748</v>
      </c>
      <c r="I39" s="14"/>
      <c r="J39" s="28"/>
    </row>
    <row r="40" spans="1:10" x14ac:dyDescent="0.3">
      <c r="A40" s="13"/>
      <c r="B40" s="23" t="s">
        <v>2</v>
      </c>
      <c r="C40" s="23" t="s">
        <v>3</v>
      </c>
      <c r="D40" s="24" t="s">
        <v>4</v>
      </c>
      <c r="E40" s="25" t="s">
        <v>5</v>
      </c>
      <c r="F40" s="26" t="s">
        <v>6</v>
      </c>
      <c r="G40" s="24" t="s">
        <v>7</v>
      </c>
      <c r="H40" s="27" t="s">
        <v>8</v>
      </c>
      <c r="I40" s="23" t="s">
        <v>9</v>
      </c>
      <c r="J40" s="28"/>
    </row>
    <row r="41" spans="1:10" x14ac:dyDescent="0.3">
      <c r="A41" s="13"/>
      <c r="B41" s="29" t="s">
        <v>11</v>
      </c>
      <c r="C41" s="30"/>
      <c r="D41" s="30"/>
      <c r="E41" s="31"/>
      <c r="F41" s="32"/>
      <c r="G41" s="49"/>
      <c r="H41" s="50"/>
      <c r="I41" s="33"/>
      <c r="J41" s="34"/>
    </row>
    <row r="42" spans="1:10" ht="30" x14ac:dyDescent="0.25">
      <c r="A42" s="42"/>
      <c r="B42" s="110" t="s">
        <v>26</v>
      </c>
      <c r="C42" s="45" t="s">
        <v>27</v>
      </c>
      <c r="D42" s="42" t="s">
        <v>15</v>
      </c>
      <c r="E42" s="42">
        <v>2</v>
      </c>
      <c r="F42" s="26">
        <v>405</v>
      </c>
      <c r="G42" s="26"/>
      <c r="H42" s="46" t="s">
        <v>161</v>
      </c>
      <c r="I42" s="131" t="s">
        <v>366</v>
      </c>
      <c r="J42" s="38"/>
    </row>
    <row r="43" spans="1:10" ht="30" x14ac:dyDescent="0.25">
      <c r="A43" s="42"/>
      <c r="B43" s="44" t="s">
        <v>39</v>
      </c>
      <c r="C43" s="44" t="s">
        <v>40</v>
      </c>
      <c r="D43" s="42" t="s">
        <v>15</v>
      </c>
      <c r="E43" s="42">
        <v>2</v>
      </c>
      <c r="F43" s="26">
        <v>209</v>
      </c>
      <c r="G43" s="26"/>
      <c r="H43" s="39" t="s">
        <v>345</v>
      </c>
      <c r="I43" s="458" t="s">
        <v>367</v>
      </c>
      <c r="J43" s="38"/>
    </row>
    <row r="44" spans="1:10" x14ac:dyDescent="0.25">
      <c r="A44" s="42"/>
      <c r="B44" s="44" t="s">
        <v>37</v>
      </c>
      <c r="C44" s="44" t="s">
        <v>38</v>
      </c>
      <c r="D44" s="42" t="s">
        <v>15</v>
      </c>
      <c r="E44" s="42">
        <v>2</v>
      </c>
      <c r="F44" s="26">
        <f>80+54</f>
        <v>134</v>
      </c>
      <c r="G44" s="26"/>
      <c r="H44" s="39" t="s">
        <v>345</v>
      </c>
      <c r="I44" s="53" t="s">
        <v>368</v>
      </c>
      <c r="J44" s="38"/>
    </row>
    <row r="45" spans="1:10" x14ac:dyDescent="0.25">
      <c r="A45" s="42"/>
      <c r="B45" s="39"/>
      <c r="C45" s="39"/>
      <c r="D45" s="37"/>
      <c r="E45" s="37"/>
      <c r="F45" s="38"/>
      <c r="G45" s="26"/>
      <c r="H45" s="39"/>
      <c r="I45" s="53"/>
      <c r="J45" s="38"/>
    </row>
    <row r="46" spans="1:10" x14ac:dyDescent="0.25">
      <c r="A46" s="42"/>
      <c r="B46" s="44"/>
      <c r="C46" s="44"/>
      <c r="D46" s="37"/>
      <c r="E46" s="37"/>
      <c r="F46" s="38"/>
      <c r="G46" s="26"/>
      <c r="H46" s="54"/>
      <c r="I46" s="53"/>
      <c r="J46" s="38"/>
    </row>
    <row r="47" spans="1:10" ht="24.6" x14ac:dyDescent="0.4">
      <c r="A47" s="490" t="s">
        <v>350</v>
      </c>
      <c r="B47" s="491"/>
      <c r="C47" s="492"/>
      <c r="D47" s="6"/>
      <c r="E47" s="7"/>
      <c r="F47" s="8"/>
      <c r="G47" s="9"/>
      <c r="H47" s="10"/>
      <c r="I47" s="9"/>
      <c r="J47" s="10"/>
    </row>
    <row r="48" spans="1:10" x14ac:dyDescent="0.3">
      <c r="A48" s="11"/>
      <c r="B48" s="12"/>
      <c r="C48" s="12"/>
      <c r="D48" s="13"/>
      <c r="E48" s="13"/>
      <c r="F48" s="14"/>
      <c r="G48" s="13"/>
      <c r="H48" s="15"/>
      <c r="I48" s="16" t="s">
        <v>0</v>
      </c>
      <c r="J48" s="17"/>
    </row>
    <row r="49" spans="1:10" ht="21" x14ac:dyDescent="0.4">
      <c r="A49" s="486" t="s">
        <v>1</v>
      </c>
      <c r="B49" s="487"/>
      <c r="C49" s="488"/>
      <c r="D49" s="13"/>
      <c r="E49" s="17"/>
      <c r="F49" s="18"/>
      <c r="G49" s="19"/>
      <c r="H49" s="20"/>
      <c r="I49" s="21">
        <f>SUM(F52:F53)</f>
        <v>0</v>
      </c>
      <c r="J49" s="22"/>
    </row>
    <row r="50" spans="1:10" x14ac:dyDescent="0.3">
      <c r="A50" s="13"/>
      <c r="B50" s="23" t="s">
        <v>2</v>
      </c>
      <c r="C50" s="23" t="s">
        <v>3</v>
      </c>
      <c r="D50" s="24" t="s">
        <v>4</v>
      </c>
      <c r="E50" s="25" t="s">
        <v>5</v>
      </c>
      <c r="F50" s="26" t="s">
        <v>6</v>
      </c>
      <c r="G50" s="24" t="s">
        <v>7</v>
      </c>
      <c r="H50" s="27" t="s">
        <v>8</v>
      </c>
      <c r="I50" s="23" t="s">
        <v>9</v>
      </c>
      <c r="J50" s="28" t="s">
        <v>10</v>
      </c>
    </row>
    <row r="51" spans="1:10" ht="16.2" thickBot="1" x14ac:dyDescent="0.35">
      <c r="A51" s="13"/>
      <c r="B51" s="29" t="s">
        <v>11</v>
      </c>
      <c r="C51" s="30"/>
      <c r="D51" s="30"/>
      <c r="E51" s="31"/>
      <c r="F51" s="32"/>
      <c r="G51" s="30"/>
      <c r="H51" s="31"/>
      <c r="I51" s="33"/>
      <c r="J51" s="34"/>
    </row>
    <row r="52" spans="1:10" ht="38.4" customHeight="1" x14ac:dyDescent="0.3">
      <c r="A52" s="13"/>
      <c r="B52" s="459" t="s">
        <v>387</v>
      </c>
      <c r="C52" s="459" t="s">
        <v>388</v>
      </c>
      <c r="D52" s="37" t="s">
        <v>30</v>
      </c>
      <c r="E52" s="37">
        <v>2</v>
      </c>
      <c r="F52" s="38"/>
      <c r="G52" s="14"/>
      <c r="H52" s="460" t="s">
        <v>389</v>
      </c>
      <c r="I52" s="143" t="s">
        <v>390</v>
      </c>
      <c r="J52" s="41"/>
    </row>
    <row r="53" spans="1:10" x14ac:dyDescent="0.25">
      <c r="A53" s="42"/>
      <c r="B53" s="55"/>
      <c r="C53" s="108"/>
      <c r="D53" s="66"/>
      <c r="E53" s="66"/>
      <c r="F53" s="56"/>
      <c r="G53" s="67"/>
      <c r="H53" s="108"/>
      <c r="I53" s="43"/>
      <c r="J53" s="38"/>
    </row>
    <row r="54" spans="1:10" x14ac:dyDescent="0.25">
      <c r="A54" s="37"/>
      <c r="B54" s="45"/>
      <c r="C54" s="45"/>
      <c r="D54" s="37"/>
      <c r="E54" s="37"/>
      <c r="F54" s="14"/>
      <c r="G54" s="37"/>
      <c r="H54" s="19"/>
      <c r="I54" s="46"/>
      <c r="J54" s="18"/>
    </row>
    <row r="55" spans="1:10" x14ac:dyDescent="0.3">
      <c r="A55" s="11"/>
      <c r="B55" s="12"/>
      <c r="C55" s="12"/>
      <c r="D55" s="13"/>
      <c r="E55" s="13"/>
      <c r="F55" s="14"/>
      <c r="G55" s="13"/>
      <c r="H55" s="47" t="s">
        <v>14</v>
      </c>
      <c r="I55" s="17"/>
      <c r="J55" s="17"/>
    </row>
    <row r="56" spans="1:10" s="63" customFormat="1" ht="21" x14ac:dyDescent="0.4">
      <c r="A56" s="489" t="s">
        <v>156</v>
      </c>
      <c r="B56" s="489"/>
      <c r="C56" s="489"/>
      <c r="D56" s="13"/>
      <c r="E56" s="17"/>
      <c r="F56" s="18"/>
      <c r="G56" s="19"/>
      <c r="H56" s="48">
        <f>SUM(F59:F62)</f>
        <v>343</v>
      </c>
      <c r="I56" s="14"/>
      <c r="J56" s="28"/>
    </row>
    <row r="57" spans="1:10" x14ac:dyDescent="0.3">
      <c r="A57" s="13"/>
      <c r="B57" s="23" t="s">
        <v>2</v>
      </c>
      <c r="C57" s="23" t="s">
        <v>3</v>
      </c>
      <c r="D57" s="24" t="s">
        <v>4</v>
      </c>
      <c r="E57" s="25" t="s">
        <v>5</v>
      </c>
      <c r="F57" s="26" t="s">
        <v>6</v>
      </c>
      <c r="G57" s="24" t="s">
        <v>7</v>
      </c>
      <c r="H57" s="27" t="s">
        <v>8</v>
      </c>
      <c r="I57" s="23" t="s">
        <v>9</v>
      </c>
      <c r="J57" s="28"/>
    </row>
    <row r="58" spans="1:10" x14ac:dyDescent="0.3">
      <c r="A58" s="13"/>
      <c r="B58" s="29" t="s">
        <v>11</v>
      </c>
      <c r="C58" s="30"/>
      <c r="D58" s="30"/>
      <c r="E58" s="31"/>
      <c r="F58" s="32"/>
      <c r="G58" s="49"/>
      <c r="H58" s="50"/>
      <c r="I58" s="33"/>
      <c r="J58" s="34"/>
    </row>
    <row r="59" spans="1:10" x14ac:dyDescent="0.3">
      <c r="A59" s="68"/>
      <c r="B59" s="44" t="s">
        <v>44</v>
      </c>
      <c r="C59" s="44" t="s">
        <v>45</v>
      </c>
      <c r="D59" s="42" t="s">
        <v>15</v>
      </c>
      <c r="E59" s="42">
        <v>2</v>
      </c>
      <c r="F59" s="26">
        <v>251</v>
      </c>
      <c r="G59" s="68"/>
      <c r="H59" s="43" t="s">
        <v>162</v>
      </c>
      <c r="I59" s="58" t="s">
        <v>372</v>
      </c>
      <c r="J59" s="87"/>
    </row>
    <row r="60" spans="1:10" x14ac:dyDescent="0.3">
      <c r="A60" s="68"/>
      <c r="B60" s="44" t="s">
        <v>46</v>
      </c>
      <c r="C60" s="44" t="s">
        <v>47</v>
      </c>
      <c r="D60" s="37" t="s">
        <v>15</v>
      </c>
      <c r="E60" s="37">
        <v>2</v>
      </c>
      <c r="F60" s="26">
        <v>92</v>
      </c>
      <c r="G60" s="68"/>
      <c r="H60" s="43" t="s">
        <v>163</v>
      </c>
      <c r="I60" s="40" t="s">
        <v>371</v>
      </c>
      <c r="J60" s="87"/>
    </row>
    <row r="61" spans="1:10" x14ac:dyDescent="0.3">
      <c r="A61" s="68"/>
      <c r="B61" s="111"/>
      <c r="C61" s="89"/>
      <c r="D61" s="41"/>
      <c r="E61" s="85"/>
      <c r="F61" s="26"/>
      <c r="G61" s="68"/>
      <c r="H61" s="78"/>
      <c r="I61" s="40"/>
      <c r="J61" s="87"/>
    </row>
    <row r="62" spans="1:10" x14ac:dyDescent="0.25">
      <c r="A62" s="42"/>
      <c r="B62" s="51"/>
      <c r="C62" s="52"/>
      <c r="D62" s="37"/>
      <c r="E62" s="37"/>
      <c r="F62" s="26"/>
      <c r="G62" s="26"/>
      <c r="H62" s="39"/>
      <c r="I62" s="53"/>
      <c r="J62" s="38"/>
    </row>
    <row r="63" spans="1:10" ht="24.6" x14ac:dyDescent="0.4">
      <c r="A63" s="490" t="s">
        <v>351</v>
      </c>
      <c r="B63" s="491"/>
      <c r="C63" s="492"/>
      <c r="D63" s="6"/>
      <c r="E63" s="7"/>
      <c r="F63" s="8"/>
      <c r="G63" s="9"/>
      <c r="H63" s="10"/>
      <c r="I63" s="9"/>
      <c r="J63" s="10"/>
    </row>
    <row r="64" spans="1:10" x14ac:dyDescent="0.3">
      <c r="A64" s="11"/>
      <c r="B64" s="12"/>
      <c r="C64" s="12"/>
      <c r="D64" s="13"/>
      <c r="E64" s="13"/>
      <c r="F64" s="14"/>
      <c r="G64" s="13"/>
      <c r="H64" s="15"/>
      <c r="I64" s="16" t="s">
        <v>0</v>
      </c>
      <c r="J64" s="17"/>
    </row>
    <row r="65" spans="1:10" ht="21" x14ac:dyDescent="0.4">
      <c r="A65" s="486" t="s">
        <v>147</v>
      </c>
      <c r="B65" s="487"/>
      <c r="C65" s="488"/>
      <c r="D65" s="13"/>
      <c r="E65" s="17"/>
      <c r="F65" s="18"/>
      <c r="G65" s="19"/>
      <c r="H65" s="20"/>
      <c r="I65" s="21">
        <f>SUM(F68:F71)</f>
        <v>985</v>
      </c>
      <c r="J65" s="22"/>
    </row>
    <row r="66" spans="1:10" x14ac:dyDescent="0.3">
      <c r="A66" s="13"/>
      <c r="B66" s="23" t="s">
        <v>2</v>
      </c>
      <c r="C66" s="23" t="s">
        <v>3</v>
      </c>
      <c r="D66" s="24" t="s">
        <v>4</v>
      </c>
      <c r="E66" s="25" t="s">
        <v>5</v>
      </c>
      <c r="F66" s="26" t="s">
        <v>6</v>
      </c>
      <c r="G66" s="24" t="s">
        <v>7</v>
      </c>
      <c r="H66" s="27" t="s">
        <v>8</v>
      </c>
      <c r="I66" s="23" t="s">
        <v>9</v>
      </c>
      <c r="J66" s="28" t="s">
        <v>10</v>
      </c>
    </row>
    <row r="67" spans="1:10" x14ac:dyDescent="0.3">
      <c r="A67" s="13"/>
      <c r="B67" s="29" t="s">
        <v>11</v>
      </c>
      <c r="C67" s="30"/>
      <c r="D67" s="30"/>
      <c r="E67" s="31"/>
      <c r="F67" s="32"/>
      <c r="G67" s="30"/>
      <c r="H67" s="31"/>
      <c r="I67" s="33"/>
      <c r="J67" s="34"/>
    </row>
    <row r="68" spans="1:10" ht="25.2" customHeight="1" x14ac:dyDescent="0.3">
      <c r="A68" s="13"/>
      <c r="B68" s="44" t="s">
        <v>50</v>
      </c>
      <c r="C68" s="44" t="s">
        <v>29</v>
      </c>
      <c r="D68" s="42" t="s">
        <v>30</v>
      </c>
      <c r="E68" s="42">
        <v>3</v>
      </c>
      <c r="F68" s="38">
        <v>75</v>
      </c>
      <c r="G68" s="14"/>
      <c r="H68" s="39" t="s">
        <v>136</v>
      </c>
      <c r="I68" s="44" t="s">
        <v>132</v>
      </c>
      <c r="J68" s="41"/>
    </row>
    <row r="69" spans="1:10" ht="99" customHeight="1" x14ac:dyDescent="0.25">
      <c r="A69" s="42"/>
      <c r="B69" s="131" t="s">
        <v>150</v>
      </c>
      <c r="C69" s="45" t="s">
        <v>95</v>
      </c>
      <c r="D69" s="113" t="s">
        <v>30</v>
      </c>
      <c r="E69" s="113">
        <v>2</v>
      </c>
      <c r="F69" s="14">
        <f>654+256</f>
        <v>910</v>
      </c>
      <c r="G69" s="37"/>
      <c r="H69" s="19" t="s">
        <v>149</v>
      </c>
      <c r="I69" s="143" t="s">
        <v>386</v>
      </c>
      <c r="J69" s="145"/>
    </row>
    <row r="70" spans="1:10" x14ac:dyDescent="0.25">
      <c r="A70" s="42"/>
      <c r="B70" s="45"/>
      <c r="C70" s="45"/>
      <c r="D70" s="113"/>
      <c r="E70" s="113"/>
      <c r="F70" s="14"/>
      <c r="G70" s="37"/>
      <c r="H70" s="19"/>
      <c r="I70" s="447"/>
      <c r="J70" s="145"/>
    </row>
    <row r="71" spans="1:10" x14ac:dyDescent="0.3">
      <c r="A71" s="11"/>
      <c r="B71" s="12"/>
      <c r="C71" s="12"/>
      <c r="D71" s="13"/>
      <c r="E71" s="13"/>
      <c r="F71" s="14"/>
      <c r="G71" s="13"/>
      <c r="H71" s="15"/>
      <c r="I71" s="16" t="s">
        <v>0</v>
      </c>
      <c r="J71" s="17"/>
    </row>
    <row r="72" spans="1:10" ht="21" x14ac:dyDescent="0.4">
      <c r="A72" s="486" t="s">
        <v>344</v>
      </c>
      <c r="B72" s="487"/>
      <c r="C72" s="488"/>
      <c r="D72" s="13"/>
      <c r="E72" s="17"/>
      <c r="F72" s="18"/>
      <c r="G72" s="19"/>
      <c r="H72" s="20"/>
      <c r="I72" s="21">
        <f>SUM(F75:F78)</f>
        <v>83</v>
      </c>
      <c r="J72" s="22"/>
    </row>
    <row r="73" spans="1:10" x14ac:dyDescent="0.3">
      <c r="A73" s="13"/>
      <c r="B73" s="23" t="s">
        <v>2</v>
      </c>
      <c r="C73" s="23" t="s">
        <v>3</v>
      </c>
      <c r="D73" s="24" t="s">
        <v>4</v>
      </c>
      <c r="E73" s="25" t="s">
        <v>5</v>
      </c>
      <c r="F73" s="26" t="s">
        <v>6</v>
      </c>
      <c r="G73" s="24" t="s">
        <v>7</v>
      </c>
      <c r="H73" s="27" t="s">
        <v>8</v>
      </c>
      <c r="I73" s="23" t="s">
        <v>9</v>
      </c>
      <c r="J73" s="28" t="s">
        <v>10</v>
      </c>
    </row>
    <row r="74" spans="1:10" x14ac:dyDescent="0.3">
      <c r="A74" s="13"/>
      <c r="B74" s="29" t="s">
        <v>11</v>
      </c>
      <c r="C74" s="30"/>
      <c r="D74" s="30"/>
      <c r="E74" s="31"/>
      <c r="F74" s="32"/>
      <c r="G74" s="30"/>
      <c r="H74" s="31"/>
      <c r="I74" s="33"/>
      <c r="J74" s="34"/>
    </row>
    <row r="75" spans="1:10" x14ac:dyDescent="0.25">
      <c r="A75" s="42"/>
      <c r="B75" s="44" t="s">
        <v>83</v>
      </c>
      <c r="C75" s="39" t="s">
        <v>84</v>
      </c>
      <c r="D75" s="37" t="s">
        <v>30</v>
      </c>
      <c r="E75" s="37">
        <v>2</v>
      </c>
      <c r="F75" s="38">
        <v>83</v>
      </c>
      <c r="G75" s="14"/>
      <c r="H75" s="39" t="s">
        <v>145</v>
      </c>
      <c r="I75" s="43" t="s">
        <v>146</v>
      </c>
      <c r="J75" s="145"/>
    </row>
    <row r="76" spans="1:10" ht="45.6" x14ac:dyDescent="0.25">
      <c r="A76" s="42"/>
      <c r="B76" s="143" t="s">
        <v>151</v>
      </c>
      <c r="C76" s="45" t="s">
        <v>95</v>
      </c>
      <c r="D76" s="113" t="s">
        <v>30</v>
      </c>
      <c r="E76" s="113">
        <v>2</v>
      </c>
      <c r="F76" s="38"/>
      <c r="G76" s="14"/>
      <c r="H76" s="144" t="s">
        <v>149</v>
      </c>
      <c r="I76" s="43"/>
      <c r="J76" s="38"/>
    </row>
    <row r="77" spans="1:10" x14ac:dyDescent="0.25">
      <c r="A77" s="42"/>
      <c r="B77" s="44"/>
      <c r="C77" s="39"/>
      <c r="D77" s="37"/>
      <c r="E77" s="37"/>
      <c r="F77" s="38"/>
      <c r="G77" s="14"/>
      <c r="H77" s="39"/>
      <c r="I77" s="43"/>
      <c r="J77" s="38"/>
    </row>
    <row r="78" spans="1:10" x14ac:dyDescent="0.3">
      <c r="A78" s="11"/>
      <c r="B78" s="12"/>
      <c r="C78" s="12"/>
      <c r="D78" s="13"/>
      <c r="E78" s="13"/>
      <c r="F78" s="14"/>
      <c r="G78" s="13"/>
      <c r="H78" s="47" t="s">
        <v>14</v>
      </c>
      <c r="I78" s="17"/>
      <c r="J78" s="17"/>
    </row>
    <row r="79" spans="1:10" s="63" customFormat="1" ht="21" x14ac:dyDescent="0.4">
      <c r="A79" s="489" t="s">
        <v>128</v>
      </c>
      <c r="B79" s="489"/>
      <c r="C79" s="489"/>
      <c r="D79" s="13"/>
      <c r="E79" s="17"/>
      <c r="F79" s="18"/>
      <c r="G79" s="19"/>
      <c r="H79" s="48">
        <f>SUM(F82:F88)</f>
        <v>504</v>
      </c>
      <c r="I79" s="14"/>
      <c r="J79" s="28"/>
    </row>
    <row r="80" spans="1:10" x14ac:dyDescent="0.3">
      <c r="A80" s="13"/>
      <c r="B80" s="23" t="s">
        <v>2</v>
      </c>
      <c r="C80" s="23" t="s">
        <v>3</v>
      </c>
      <c r="D80" s="24" t="s">
        <v>4</v>
      </c>
      <c r="E80" s="25" t="s">
        <v>5</v>
      </c>
      <c r="F80" s="26" t="s">
        <v>6</v>
      </c>
      <c r="G80" s="24" t="s">
        <v>7</v>
      </c>
      <c r="H80" s="27" t="s">
        <v>8</v>
      </c>
      <c r="I80" s="23" t="s">
        <v>9</v>
      </c>
      <c r="J80" s="28"/>
    </row>
    <row r="81" spans="1:10" x14ac:dyDescent="0.3">
      <c r="A81" s="13"/>
      <c r="B81" s="29" t="s">
        <v>11</v>
      </c>
      <c r="C81" s="30"/>
      <c r="D81" s="30"/>
      <c r="E81" s="31"/>
      <c r="F81" s="32"/>
      <c r="G81" s="49"/>
      <c r="H81" s="50"/>
      <c r="I81" s="33"/>
      <c r="J81" s="34"/>
    </row>
    <row r="82" spans="1:10" x14ac:dyDescent="0.25">
      <c r="A82" s="42"/>
      <c r="B82" s="44" t="s">
        <v>51</v>
      </c>
      <c r="C82" s="44" t="s">
        <v>18</v>
      </c>
      <c r="D82" s="42" t="s">
        <v>15</v>
      </c>
      <c r="E82" s="42">
        <v>2</v>
      </c>
      <c r="F82" s="26">
        <v>97</v>
      </c>
      <c r="G82" s="26"/>
      <c r="H82" s="39" t="s">
        <v>165</v>
      </c>
      <c r="I82" s="53" t="s">
        <v>373</v>
      </c>
      <c r="J82" s="38"/>
    </row>
    <row r="83" spans="1:10" x14ac:dyDescent="0.25">
      <c r="A83" s="42"/>
      <c r="B83" s="44" t="s">
        <v>52</v>
      </c>
      <c r="C83" s="44" t="s">
        <v>12</v>
      </c>
      <c r="D83" s="42" t="s">
        <v>15</v>
      </c>
      <c r="E83" s="42">
        <v>2</v>
      </c>
      <c r="F83" s="26">
        <v>107</v>
      </c>
      <c r="G83" s="26"/>
      <c r="H83" s="39" t="s">
        <v>166</v>
      </c>
      <c r="I83" s="53" t="s">
        <v>374</v>
      </c>
      <c r="J83" s="38"/>
    </row>
    <row r="84" spans="1:10" x14ac:dyDescent="0.25">
      <c r="A84" s="42"/>
      <c r="B84" s="44" t="s">
        <v>53</v>
      </c>
      <c r="C84" s="44" t="s">
        <v>12</v>
      </c>
      <c r="D84" s="42" t="s">
        <v>15</v>
      </c>
      <c r="E84" s="42">
        <v>2</v>
      </c>
      <c r="F84" s="26">
        <v>136</v>
      </c>
      <c r="G84" s="26"/>
      <c r="H84" s="39" t="s">
        <v>167</v>
      </c>
      <c r="I84" s="53" t="s">
        <v>363</v>
      </c>
      <c r="J84" s="38"/>
    </row>
    <row r="85" spans="1:10" x14ac:dyDescent="0.25">
      <c r="A85" s="42"/>
      <c r="B85" s="44" t="s">
        <v>85</v>
      </c>
      <c r="C85" s="44" t="s">
        <v>86</v>
      </c>
      <c r="D85" s="42" t="s">
        <v>15</v>
      </c>
      <c r="E85" s="42">
        <v>2</v>
      </c>
      <c r="F85" s="26">
        <v>97</v>
      </c>
      <c r="G85" s="26"/>
      <c r="H85" s="39" t="s">
        <v>180</v>
      </c>
      <c r="I85" s="53" t="s">
        <v>375</v>
      </c>
      <c r="J85" s="38"/>
    </row>
    <row r="86" spans="1:10" x14ac:dyDescent="0.25">
      <c r="A86" s="42"/>
      <c r="B86" s="109" t="s">
        <v>87</v>
      </c>
      <c r="C86" s="109" t="s">
        <v>32</v>
      </c>
      <c r="D86" s="42" t="s">
        <v>15</v>
      </c>
      <c r="E86" s="42">
        <v>2</v>
      </c>
      <c r="F86" s="26">
        <v>67</v>
      </c>
      <c r="G86" s="26"/>
      <c r="H86" s="39" t="s">
        <v>181</v>
      </c>
      <c r="I86" s="53" t="s">
        <v>361</v>
      </c>
      <c r="J86" s="38"/>
    </row>
    <row r="87" spans="1:10" x14ac:dyDescent="0.25">
      <c r="A87" s="42"/>
      <c r="B87" s="51"/>
      <c r="C87" s="52"/>
      <c r="D87" s="37"/>
      <c r="E87" s="37"/>
      <c r="F87" s="26"/>
      <c r="G87" s="26"/>
      <c r="H87" s="39"/>
      <c r="I87" s="53"/>
      <c r="J87" s="38"/>
    </row>
    <row r="88" spans="1:10" x14ac:dyDescent="0.25">
      <c r="A88" s="42"/>
      <c r="B88" s="44"/>
      <c r="C88" s="44"/>
      <c r="D88" s="37"/>
      <c r="E88" s="37"/>
      <c r="F88" s="38"/>
      <c r="G88" s="26"/>
      <c r="H88" s="54"/>
      <c r="I88" s="53"/>
      <c r="J88" s="38"/>
    </row>
    <row r="89" spans="1:10" ht="24.6" x14ac:dyDescent="0.4">
      <c r="A89" s="490" t="s">
        <v>352</v>
      </c>
      <c r="B89" s="491"/>
      <c r="C89" s="492"/>
      <c r="D89" s="6"/>
      <c r="E89" s="7"/>
      <c r="F89" s="8"/>
      <c r="G89" s="9"/>
      <c r="H89" s="10"/>
      <c r="I89" s="9"/>
      <c r="J89" s="10"/>
    </row>
    <row r="90" spans="1:10" x14ac:dyDescent="0.3">
      <c r="A90" s="11"/>
      <c r="B90" s="12"/>
      <c r="C90" s="12"/>
      <c r="D90" s="13"/>
      <c r="E90" s="13"/>
      <c r="F90" s="14"/>
      <c r="G90" s="13"/>
      <c r="H90" s="15"/>
      <c r="I90" s="16" t="s">
        <v>0</v>
      </c>
      <c r="J90" s="17"/>
    </row>
    <row r="91" spans="1:10" ht="21" x14ac:dyDescent="0.4">
      <c r="A91" s="486" t="s">
        <v>1</v>
      </c>
      <c r="B91" s="487"/>
      <c r="C91" s="488"/>
      <c r="D91" s="13"/>
      <c r="E91" s="17"/>
      <c r="F91" s="18"/>
      <c r="G91" s="19"/>
      <c r="H91" s="20"/>
      <c r="I91" s="21">
        <f>SUM(F94:F95)</f>
        <v>0</v>
      </c>
      <c r="J91" s="22"/>
    </row>
    <row r="92" spans="1:10" x14ac:dyDescent="0.3">
      <c r="A92" s="13"/>
      <c r="B92" s="23" t="s">
        <v>2</v>
      </c>
      <c r="C92" s="23" t="s">
        <v>3</v>
      </c>
      <c r="D92" s="24" t="s">
        <v>4</v>
      </c>
      <c r="E92" s="25" t="s">
        <v>5</v>
      </c>
      <c r="F92" s="26" t="s">
        <v>6</v>
      </c>
      <c r="G92" s="24" t="s">
        <v>7</v>
      </c>
      <c r="H92" s="27" t="s">
        <v>8</v>
      </c>
      <c r="I92" s="23" t="s">
        <v>9</v>
      </c>
      <c r="J92" s="28" t="s">
        <v>10</v>
      </c>
    </row>
    <row r="93" spans="1:10" x14ac:dyDescent="0.3">
      <c r="A93" s="13"/>
      <c r="B93" s="29" t="s">
        <v>11</v>
      </c>
      <c r="C93" s="30"/>
      <c r="D93" s="30"/>
      <c r="E93" s="31"/>
      <c r="F93" s="32"/>
      <c r="G93" s="30"/>
      <c r="H93" s="31"/>
      <c r="I93" s="33"/>
      <c r="J93" s="34"/>
    </row>
    <row r="94" spans="1:10" x14ac:dyDescent="0.3">
      <c r="A94" s="13"/>
      <c r="B94" s="35" t="s">
        <v>152</v>
      </c>
      <c r="C94" s="36"/>
      <c r="D94" s="37"/>
      <c r="E94" s="37"/>
      <c r="F94" s="38"/>
      <c r="G94" s="14"/>
      <c r="H94" s="39"/>
      <c r="I94" s="40"/>
      <c r="J94" s="41"/>
    </row>
    <row r="95" spans="1:10" x14ac:dyDescent="0.25">
      <c r="A95" s="42"/>
      <c r="B95" s="55"/>
      <c r="C95" s="108"/>
      <c r="D95" s="66"/>
      <c r="E95" s="66"/>
      <c r="F95" s="56"/>
      <c r="G95" s="67"/>
      <c r="H95" s="108"/>
      <c r="I95" s="43"/>
      <c r="J95" s="38"/>
    </row>
    <row r="96" spans="1:10" x14ac:dyDescent="0.25">
      <c r="A96" s="42"/>
      <c r="B96" s="55"/>
      <c r="C96" s="108"/>
      <c r="D96" s="66"/>
      <c r="E96" s="66"/>
      <c r="F96" s="56"/>
      <c r="G96" s="67"/>
      <c r="H96" s="108"/>
      <c r="I96" s="43"/>
      <c r="J96" s="38"/>
    </row>
    <row r="97" spans="1:10" x14ac:dyDescent="0.3">
      <c r="A97" s="11"/>
      <c r="B97" s="12"/>
      <c r="C97" s="12"/>
      <c r="D97" s="13"/>
      <c r="E97" s="13"/>
      <c r="F97" s="14"/>
      <c r="G97" s="13"/>
      <c r="H97" s="47" t="s">
        <v>14</v>
      </c>
      <c r="I97" s="17"/>
      <c r="J97" s="17"/>
    </row>
    <row r="98" spans="1:10" s="63" customFormat="1" ht="21" x14ac:dyDescent="0.4">
      <c r="A98" s="489" t="s">
        <v>128</v>
      </c>
      <c r="B98" s="489"/>
      <c r="C98" s="489"/>
      <c r="D98" s="13"/>
      <c r="E98" s="17"/>
      <c r="F98" s="18"/>
      <c r="G98" s="19"/>
      <c r="H98" s="48">
        <f>SUM(F101:F106)</f>
        <v>780</v>
      </c>
      <c r="I98" s="14"/>
      <c r="J98" s="28"/>
    </row>
    <row r="99" spans="1:10" x14ac:dyDescent="0.3">
      <c r="A99" s="13"/>
      <c r="B99" s="23" t="s">
        <v>2</v>
      </c>
      <c r="C99" s="23" t="s">
        <v>3</v>
      </c>
      <c r="D99" s="24" t="s">
        <v>4</v>
      </c>
      <c r="E99" s="25" t="s">
        <v>5</v>
      </c>
      <c r="F99" s="26" t="s">
        <v>6</v>
      </c>
      <c r="G99" s="24" t="s">
        <v>7</v>
      </c>
      <c r="H99" s="27" t="s">
        <v>8</v>
      </c>
      <c r="I99" s="23" t="s">
        <v>9</v>
      </c>
      <c r="J99" s="28"/>
    </row>
    <row r="100" spans="1:10" x14ac:dyDescent="0.3">
      <c r="A100" s="13"/>
      <c r="B100" s="29" t="s">
        <v>11</v>
      </c>
      <c r="C100" s="30"/>
      <c r="D100" s="30"/>
      <c r="E100" s="31"/>
      <c r="F100" s="32"/>
      <c r="G100" s="49"/>
      <c r="H100" s="50"/>
      <c r="I100" s="33"/>
      <c r="J100" s="34"/>
    </row>
    <row r="101" spans="1:10" x14ac:dyDescent="0.25">
      <c r="A101" s="42"/>
      <c r="B101" s="44" t="s">
        <v>54</v>
      </c>
      <c r="C101" s="44" t="s">
        <v>27</v>
      </c>
      <c r="D101" s="42" t="s">
        <v>15</v>
      </c>
      <c r="E101" s="42">
        <v>2</v>
      </c>
      <c r="F101" s="26">
        <v>320</v>
      </c>
      <c r="G101" s="26"/>
      <c r="H101" s="39" t="s">
        <v>168</v>
      </c>
      <c r="I101" s="53" t="s">
        <v>372</v>
      </c>
      <c r="J101" s="38"/>
    </row>
    <row r="102" spans="1:10" x14ac:dyDescent="0.25">
      <c r="A102" s="42"/>
      <c r="B102" s="44" t="s">
        <v>55</v>
      </c>
      <c r="C102" s="44" t="s">
        <v>45</v>
      </c>
      <c r="D102" s="42" t="s">
        <v>15</v>
      </c>
      <c r="E102" s="42">
        <v>2</v>
      </c>
      <c r="F102" s="26">
        <v>220</v>
      </c>
      <c r="G102" s="26"/>
      <c r="H102" s="39" t="s">
        <v>169</v>
      </c>
      <c r="I102" s="53" t="s">
        <v>376</v>
      </c>
      <c r="J102" s="38"/>
    </row>
    <row r="103" spans="1:10" ht="30" x14ac:dyDescent="0.25">
      <c r="A103" s="42"/>
      <c r="B103" s="44" t="s">
        <v>56</v>
      </c>
      <c r="C103" s="44" t="s">
        <v>36</v>
      </c>
      <c r="D103" s="42" t="s">
        <v>15</v>
      </c>
      <c r="E103" s="42">
        <v>2</v>
      </c>
      <c r="F103" s="26">
        <v>189</v>
      </c>
      <c r="G103" s="26"/>
      <c r="H103" s="39" t="s">
        <v>170</v>
      </c>
      <c r="I103" s="458" t="s">
        <v>367</v>
      </c>
      <c r="J103" s="38"/>
    </row>
    <row r="104" spans="1:10" x14ac:dyDescent="0.25">
      <c r="A104" s="42"/>
      <c r="B104" s="44" t="s">
        <v>57</v>
      </c>
      <c r="C104" s="44" t="s">
        <v>47</v>
      </c>
      <c r="D104" s="42" t="s">
        <v>30</v>
      </c>
      <c r="E104" s="42">
        <v>2</v>
      </c>
      <c r="F104" s="26">
        <v>51</v>
      </c>
      <c r="G104" s="26"/>
      <c r="H104" s="39" t="s">
        <v>154</v>
      </c>
      <c r="I104" s="53" t="s">
        <v>361</v>
      </c>
      <c r="J104" s="38"/>
    </row>
    <row r="105" spans="1:10" x14ac:dyDescent="0.25">
      <c r="A105" s="42"/>
      <c r="B105" s="51"/>
      <c r="C105" s="52"/>
      <c r="D105" s="37"/>
      <c r="E105" s="37"/>
      <c r="F105" s="26"/>
      <c r="G105" s="26"/>
      <c r="H105" s="39"/>
      <c r="I105" s="53"/>
      <c r="J105" s="38"/>
    </row>
    <row r="106" spans="1:10" x14ac:dyDescent="0.25">
      <c r="A106" s="42"/>
      <c r="B106" s="39"/>
      <c r="C106" s="39"/>
      <c r="D106" s="37"/>
      <c r="E106" s="37"/>
      <c r="F106" s="38"/>
      <c r="G106" s="26"/>
      <c r="H106" s="39"/>
      <c r="I106" s="53"/>
      <c r="J106" s="38"/>
    </row>
    <row r="107" spans="1:10" ht="24.6" x14ac:dyDescent="0.4">
      <c r="A107" s="490" t="s">
        <v>353</v>
      </c>
      <c r="B107" s="491"/>
      <c r="C107" s="492"/>
      <c r="D107" s="6"/>
      <c r="E107" s="7"/>
      <c r="F107" s="8"/>
      <c r="G107" s="9"/>
      <c r="H107" s="10"/>
      <c r="I107" s="9"/>
      <c r="J107" s="10"/>
    </row>
    <row r="108" spans="1:10" x14ac:dyDescent="0.3">
      <c r="A108" s="11"/>
      <c r="B108" s="12"/>
      <c r="C108" s="12"/>
      <c r="D108" s="13"/>
      <c r="E108" s="13"/>
      <c r="F108" s="14"/>
      <c r="G108" s="13"/>
      <c r="H108" s="15"/>
      <c r="I108" s="16" t="s">
        <v>0</v>
      </c>
      <c r="J108" s="17"/>
    </row>
    <row r="109" spans="1:10" ht="21" x14ac:dyDescent="0.4">
      <c r="A109" s="486" t="s">
        <v>147</v>
      </c>
      <c r="B109" s="487"/>
      <c r="C109" s="488"/>
      <c r="D109" s="13"/>
      <c r="E109" s="17"/>
      <c r="F109" s="18"/>
      <c r="G109" s="19"/>
      <c r="H109" s="20"/>
      <c r="I109" s="21">
        <f>SUM(F112:F118)</f>
        <v>773</v>
      </c>
      <c r="J109" s="22"/>
    </row>
    <row r="110" spans="1:10" x14ac:dyDescent="0.3">
      <c r="A110" s="13"/>
      <c r="B110" s="23" t="s">
        <v>2</v>
      </c>
      <c r="C110" s="23" t="s">
        <v>3</v>
      </c>
      <c r="D110" s="24" t="s">
        <v>4</v>
      </c>
      <c r="E110" s="25" t="s">
        <v>5</v>
      </c>
      <c r="F110" s="26" t="s">
        <v>6</v>
      </c>
      <c r="G110" s="24" t="s">
        <v>7</v>
      </c>
      <c r="H110" s="27" t="s">
        <v>8</v>
      </c>
      <c r="I110" s="23" t="s">
        <v>9</v>
      </c>
      <c r="J110" s="28" t="s">
        <v>10</v>
      </c>
    </row>
    <row r="111" spans="1:10" x14ac:dyDescent="0.3">
      <c r="A111" s="13"/>
      <c r="B111" s="29" t="s">
        <v>11</v>
      </c>
      <c r="C111" s="30"/>
      <c r="D111" s="30"/>
      <c r="E111" s="31"/>
      <c r="F111" s="32"/>
      <c r="G111" s="30"/>
      <c r="H111" s="31"/>
      <c r="I111" s="33"/>
      <c r="J111" s="34"/>
    </row>
    <row r="112" spans="1:10" ht="66.599999999999994" customHeight="1" x14ac:dyDescent="0.3">
      <c r="A112" s="13"/>
      <c r="B112" s="54" t="s">
        <v>342</v>
      </c>
      <c r="C112" s="46" t="s">
        <v>58</v>
      </c>
      <c r="D112" s="37" t="s">
        <v>30</v>
      </c>
      <c r="E112" s="26">
        <v>3</v>
      </c>
      <c r="F112" s="38">
        <f>(300+128+50+41)</f>
        <v>519</v>
      </c>
      <c r="G112" s="14"/>
      <c r="H112" s="142" t="s">
        <v>137</v>
      </c>
      <c r="I112" s="46" t="s">
        <v>143</v>
      </c>
      <c r="J112" s="41"/>
    </row>
    <row r="113" spans="1:10" x14ac:dyDescent="0.25">
      <c r="A113" s="42"/>
      <c r="B113" s="44" t="s">
        <v>59</v>
      </c>
      <c r="C113" s="44" t="s">
        <v>18</v>
      </c>
      <c r="D113" s="42" t="s">
        <v>15</v>
      </c>
      <c r="E113" s="42">
        <v>2</v>
      </c>
      <c r="F113" s="38">
        <v>72</v>
      </c>
      <c r="G113" s="67"/>
      <c r="H113" s="39" t="s">
        <v>138</v>
      </c>
      <c r="I113" s="43" t="s">
        <v>64</v>
      </c>
      <c r="J113" s="38"/>
    </row>
    <row r="114" spans="1:10" x14ac:dyDescent="0.25">
      <c r="A114" s="42"/>
      <c r="B114" s="110" t="s">
        <v>60</v>
      </c>
      <c r="C114" s="54" t="s">
        <v>12</v>
      </c>
      <c r="D114" s="42" t="s">
        <v>15</v>
      </c>
      <c r="E114" s="42">
        <v>2</v>
      </c>
      <c r="F114" s="38">
        <v>94</v>
      </c>
      <c r="G114" s="67"/>
      <c r="H114" s="39" t="s">
        <v>139</v>
      </c>
      <c r="I114" s="43" t="s">
        <v>65</v>
      </c>
      <c r="J114" s="38"/>
    </row>
    <row r="115" spans="1:10" x14ac:dyDescent="0.25">
      <c r="A115" s="42"/>
      <c r="B115" s="110" t="s">
        <v>61</v>
      </c>
      <c r="C115" s="54" t="s">
        <v>47</v>
      </c>
      <c r="D115" s="42" t="s">
        <v>15</v>
      </c>
      <c r="E115" s="42">
        <v>2</v>
      </c>
      <c r="F115" s="38">
        <v>88</v>
      </c>
      <c r="G115" s="67"/>
      <c r="H115" s="39" t="s">
        <v>140</v>
      </c>
      <c r="I115" s="43" t="s">
        <v>63</v>
      </c>
      <c r="J115" s="38"/>
    </row>
    <row r="116" spans="1:10" x14ac:dyDescent="0.25">
      <c r="A116" s="42"/>
      <c r="B116" s="110"/>
      <c r="C116" s="54"/>
      <c r="D116" s="42"/>
      <c r="E116" s="42"/>
      <c r="F116" s="38"/>
      <c r="G116" s="67"/>
      <c r="H116" s="39"/>
      <c r="I116" s="43"/>
      <c r="J116" s="38"/>
    </row>
    <row r="117" spans="1:10" x14ac:dyDescent="0.25">
      <c r="A117" s="42"/>
      <c r="B117" s="110"/>
      <c r="C117" s="54"/>
      <c r="D117" s="42"/>
      <c r="E117" s="42"/>
      <c r="F117" s="38"/>
      <c r="G117" s="67"/>
      <c r="H117" s="39"/>
      <c r="I117" s="43"/>
      <c r="J117" s="38"/>
    </row>
    <row r="118" spans="1:10" x14ac:dyDescent="0.3">
      <c r="A118" s="11"/>
      <c r="B118" s="12"/>
      <c r="C118" s="12"/>
      <c r="D118" s="13"/>
      <c r="E118" s="13"/>
      <c r="F118" s="14"/>
      <c r="G118" s="13"/>
      <c r="H118" s="15"/>
      <c r="I118" s="16" t="s">
        <v>0</v>
      </c>
      <c r="J118" s="17"/>
    </row>
    <row r="119" spans="1:10" ht="21" x14ac:dyDescent="0.4">
      <c r="A119" s="486" t="s">
        <v>148</v>
      </c>
      <c r="B119" s="487"/>
      <c r="C119" s="488"/>
      <c r="D119" s="13"/>
      <c r="E119" s="17"/>
      <c r="F119" s="18"/>
      <c r="G119" s="19"/>
      <c r="H119" s="20"/>
      <c r="I119" s="21">
        <f>SUM(F122:F125)</f>
        <v>519</v>
      </c>
      <c r="J119" s="22"/>
    </row>
    <row r="120" spans="1:10" x14ac:dyDescent="0.3">
      <c r="A120" s="13"/>
      <c r="B120" s="23" t="s">
        <v>2</v>
      </c>
      <c r="C120" s="23" t="s">
        <v>3</v>
      </c>
      <c r="D120" s="24" t="s">
        <v>4</v>
      </c>
      <c r="E120" s="25" t="s">
        <v>5</v>
      </c>
      <c r="F120" s="26" t="s">
        <v>6</v>
      </c>
      <c r="G120" s="24" t="s">
        <v>7</v>
      </c>
      <c r="H120" s="27" t="s">
        <v>8</v>
      </c>
      <c r="I120" s="23" t="s">
        <v>9</v>
      </c>
      <c r="J120" s="28" t="s">
        <v>10</v>
      </c>
    </row>
    <row r="121" spans="1:10" x14ac:dyDescent="0.3">
      <c r="A121" s="13"/>
      <c r="B121" s="29" t="s">
        <v>11</v>
      </c>
      <c r="C121" s="30"/>
      <c r="D121" s="30"/>
      <c r="E121" s="31"/>
      <c r="F121" s="32"/>
      <c r="G121" s="30"/>
      <c r="H121" s="31"/>
      <c r="I121" s="33"/>
      <c r="J121" s="34"/>
    </row>
    <row r="122" spans="1:10" ht="66.599999999999994" customHeight="1" x14ac:dyDescent="0.3">
      <c r="A122" s="13"/>
      <c r="B122" s="54" t="s">
        <v>343</v>
      </c>
      <c r="C122" s="46" t="s">
        <v>58</v>
      </c>
      <c r="D122" s="37" t="s">
        <v>30</v>
      </c>
      <c r="E122" s="26">
        <v>3</v>
      </c>
      <c r="F122" s="38">
        <f>(300+128+50+41)</f>
        <v>519</v>
      </c>
      <c r="G122" s="14"/>
      <c r="H122" s="142" t="s">
        <v>137</v>
      </c>
      <c r="I122" s="46"/>
      <c r="J122" s="41"/>
    </row>
    <row r="123" spans="1:10" x14ac:dyDescent="0.25">
      <c r="A123" s="42"/>
      <c r="B123" s="110"/>
      <c r="C123" s="54"/>
      <c r="D123" s="42"/>
      <c r="E123" s="42"/>
      <c r="F123" s="38"/>
      <c r="G123" s="67"/>
      <c r="H123" s="39"/>
      <c r="I123" s="43"/>
      <c r="J123" s="38"/>
    </row>
    <row r="124" spans="1:10" x14ac:dyDescent="0.25">
      <c r="A124" s="42"/>
      <c r="B124" s="44"/>
      <c r="C124" s="44"/>
      <c r="D124" s="42"/>
      <c r="E124" s="42"/>
      <c r="F124" s="38"/>
      <c r="G124" s="14"/>
      <c r="H124" s="39"/>
      <c r="I124" s="43"/>
      <c r="J124" s="38"/>
    </row>
    <row r="125" spans="1:10" x14ac:dyDescent="0.3">
      <c r="A125" s="11"/>
      <c r="B125" s="12"/>
      <c r="C125" s="12"/>
      <c r="D125" s="13"/>
      <c r="E125" s="13"/>
      <c r="F125" s="14"/>
      <c r="G125" s="13"/>
      <c r="H125" s="47" t="s">
        <v>14</v>
      </c>
      <c r="I125" s="17"/>
      <c r="J125" s="17"/>
    </row>
    <row r="126" spans="1:10" s="63" customFormat="1" ht="21" x14ac:dyDescent="0.4">
      <c r="A126" s="489" t="s">
        <v>128</v>
      </c>
      <c r="B126" s="489"/>
      <c r="C126" s="489"/>
      <c r="D126" s="13"/>
      <c r="E126" s="17"/>
      <c r="F126" s="18"/>
      <c r="G126" s="19"/>
      <c r="H126" s="48">
        <f>SUM(F129:F132)</f>
        <v>136</v>
      </c>
      <c r="I126" s="14"/>
      <c r="J126" s="28"/>
    </row>
    <row r="127" spans="1:10" x14ac:dyDescent="0.3">
      <c r="A127" s="13"/>
      <c r="B127" s="23" t="s">
        <v>2</v>
      </c>
      <c r="C127" s="23" t="s">
        <v>3</v>
      </c>
      <c r="D127" s="24" t="s">
        <v>4</v>
      </c>
      <c r="E127" s="25" t="s">
        <v>5</v>
      </c>
      <c r="F127" s="26" t="s">
        <v>6</v>
      </c>
      <c r="G127" s="24" t="s">
        <v>7</v>
      </c>
      <c r="H127" s="27" t="s">
        <v>8</v>
      </c>
      <c r="I127" s="23" t="s">
        <v>9</v>
      </c>
      <c r="J127" s="28"/>
    </row>
    <row r="128" spans="1:10" x14ac:dyDescent="0.3">
      <c r="A128" s="13"/>
      <c r="B128" s="29" t="s">
        <v>11</v>
      </c>
      <c r="C128" s="30"/>
      <c r="D128" s="30"/>
      <c r="E128" s="31"/>
      <c r="F128" s="32"/>
      <c r="G128" s="49"/>
      <c r="H128" s="50"/>
      <c r="I128" s="33"/>
      <c r="J128" s="34"/>
    </row>
    <row r="129" spans="1:10" x14ac:dyDescent="0.25">
      <c r="A129" s="42"/>
      <c r="B129" s="44" t="s">
        <v>62</v>
      </c>
      <c r="C129" s="44" t="s">
        <v>12</v>
      </c>
      <c r="D129" s="42" t="s">
        <v>15</v>
      </c>
      <c r="E129" s="42">
        <v>2</v>
      </c>
      <c r="F129" s="26">
        <v>136</v>
      </c>
      <c r="G129" s="26"/>
      <c r="H129" s="39" t="s">
        <v>171</v>
      </c>
      <c r="I129" s="53" t="s">
        <v>370</v>
      </c>
      <c r="J129" s="38"/>
    </row>
    <row r="130" spans="1:10" x14ac:dyDescent="0.25">
      <c r="A130" s="42"/>
      <c r="B130" s="44"/>
      <c r="C130" s="44"/>
      <c r="D130" s="42"/>
      <c r="E130" s="42"/>
      <c r="F130" s="38"/>
      <c r="G130" s="26"/>
      <c r="H130" s="39"/>
      <c r="I130" s="53"/>
      <c r="J130" s="38"/>
    </row>
    <row r="131" spans="1:10" x14ac:dyDescent="0.25">
      <c r="A131" s="42"/>
      <c r="B131" s="110"/>
      <c r="C131" s="54"/>
      <c r="D131" s="42"/>
      <c r="E131" s="42"/>
      <c r="F131" s="38"/>
      <c r="G131" s="26"/>
      <c r="H131" s="39"/>
      <c r="I131" s="53"/>
      <c r="J131" s="38"/>
    </row>
    <row r="132" spans="1:10" x14ac:dyDescent="0.25">
      <c r="A132" s="42"/>
      <c r="B132" s="44"/>
      <c r="C132" s="44"/>
      <c r="D132" s="42"/>
      <c r="E132" s="42"/>
      <c r="F132" s="38"/>
      <c r="G132" s="26"/>
      <c r="H132" s="39"/>
      <c r="I132" s="53"/>
      <c r="J132" s="38"/>
    </row>
    <row r="133" spans="1:10" s="63" customFormat="1" ht="21" x14ac:dyDescent="0.4">
      <c r="A133" s="489" t="s">
        <v>383</v>
      </c>
      <c r="B133" s="489"/>
      <c r="C133" s="489"/>
      <c r="D133" s="13"/>
      <c r="E133" s="17"/>
      <c r="F133" s="18"/>
      <c r="G133" s="19"/>
      <c r="H133" s="48">
        <f>SUM(F136:F140)</f>
        <v>777</v>
      </c>
      <c r="I133" s="14"/>
      <c r="J133" s="28"/>
    </row>
    <row r="134" spans="1:10" x14ac:dyDescent="0.3">
      <c r="A134" s="13"/>
      <c r="B134" s="23" t="s">
        <v>2</v>
      </c>
      <c r="C134" s="23" t="s">
        <v>3</v>
      </c>
      <c r="D134" s="24" t="s">
        <v>4</v>
      </c>
      <c r="E134" s="25" t="s">
        <v>5</v>
      </c>
      <c r="F134" s="26" t="s">
        <v>6</v>
      </c>
      <c r="G134" s="24" t="s">
        <v>7</v>
      </c>
      <c r="H134" s="27" t="s">
        <v>8</v>
      </c>
      <c r="I134" s="23" t="s">
        <v>9</v>
      </c>
      <c r="J134" s="28"/>
    </row>
    <row r="135" spans="1:10" x14ac:dyDescent="0.3">
      <c r="A135" s="13"/>
      <c r="B135" s="29" t="s">
        <v>11</v>
      </c>
      <c r="C135" s="30"/>
      <c r="D135" s="30"/>
      <c r="E135" s="31"/>
      <c r="F135" s="32"/>
      <c r="G135" s="49"/>
      <c r="H135" s="50"/>
      <c r="I135" s="33"/>
      <c r="J135" s="34"/>
    </row>
    <row r="136" spans="1:10" ht="30.6" customHeight="1" x14ac:dyDescent="0.25">
      <c r="A136" s="42"/>
      <c r="B136" s="45" t="s">
        <v>98</v>
      </c>
      <c r="C136" s="45" t="s">
        <v>99</v>
      </c>
      <c r="D136" s="113" t="s">
        <v>4</v>
      </c>
      <c r="E136" s="113">
        <v>2</v>
      </c>
      <c r="F136" s="14">
        <v>324</v>
      </c>
      <c r="G136" s="37"/>
      <c r="H136" s="19" t="s">
        <v>121</v>
      </c>
      <c r="I136" s="499" t="s">
        <v>384</v>
      </c>
      <c r="J136" s="457"/>
    </row>
    <row r="137" spans="1:10" ht="35.4" customHeight="1" x14ac:dyDescent="0.25">
      <c r="A137" s="42"/>
      <c r="B137" s="45" t="s">
        <v>100</v>
      </c>
      <c r="C137" s="45" t="s">
        <v>34</v>
      </c>
      <c r="D137" s="113" t="s">
        <v>4</v>
      </c>
      <c r="E137" s="113">
        <v>2</v>
      </c>
      <c r="F137" s="14">
        <v>222</v>
      </c>
      <c r="G137" s="37"/>
      <c r="H137" s="19" t="s">
        <v>101</v>
      </c>
      <c r="I137" s="500"/>
      <c r="J137" s="457"/>
    </row>
    <row r="138" spans="1:10" ht="33.6" customHeight="1" x14ac:dyDescent="0.25">
      <c r="A138" s="42"/>
      <c r="B138" s="45" t="s">
        <v>102</v>
      </c>
      <c r="C138" s="45" t="s">
        <v>40</v>
      </c>
      <c r="D138" s="113" t="s">
        <v>4</v>
      </c>
      <c r="E138" s="113">
        <v>2</v>
      </c>
      <c r="F138" s="14">
        <v>231</v>
      </c>
      <c r="G138" s="37"/>
      <c r="H138" s="19" t="s">
        <v>122</v>
      </c>
      <c r="I138" s="501"/>
      <c r="J138" s="457"/>
    </row>
    <row r="139" spans="1:10" x14ac:dyDescent="0.25">
      <c r="A139" s="42"/>
      <c r="B139" s="51"/>
      <c r="C139" s="52"/>
      <c r="D139" s="37"/>
      <c r="E139" s="37"/>
      <c r="F139" s="26"/>
      <c r="G139" s="26"/>
      <c r="H139" s="39"/>
      <c r="I139" s="53"/>
      <c r="J139" s="38"/>
    </row>
    <row r="140" spans="1:10" x14ac:dyDescent="0.25">
      <c r="A140" s="42"/>
      <c r="B140" s="51"/>
      <c r="C140" s="52"/>
      <c r="D140" s="37"/>
      <c r="E140" s="37"/>
      <c r="F140" s="26"/>
      <c r="G140" s="26"/>
      <c r="H140" s="39"/>
      <c r="I140" s="53"/>
      <c r="J140" s="38"/>
    </row>
    <row r="141" spans="1:10" ht="21" x14ac:dyDescent="0.4">
      <c r="A141" s="69" t="s">
        <v>354</v>
      </c>
      <c r="B141" s="70"/>
      <c r="C141" s="70"/>
      <c r="D141" s="71"/>
      <c r="E141" s="72"/>
      <c r="F141" s="73"/>
      <c r="G141" s="74"/>
      <c r="H141" s="75"/>
      <c r="I141" s="75"/>
      <c r="J141" s="75"/>
    </row>
    <row r="142" spans="1:10" s="80" customFormat="1" ht="21" x14ac:dyDescent="0.4">
      <c r="A142" s="76"/>
      <c r="B142" s="77"/>
      <c r="C142" s="77"/>
      <c r="D142" s="77"/>
      <c r="E142" s="68"/>
      <c r="F142" s="38"/>
      <c r="G142" s="78"/>
      <c r="H142" s="79"/>
      <c r="I142" s="79"/>
      <c r="J142" s="79"/>
    </row>
    <row r="143" spans="1:10" ht="24.6" x14ac:dyDescent="0.3">
      <c r="A143" s="496" t="s">
        <v>356</v>
      </c>
      <c r="B143" s="497"/>
      <c r="C143" s="498"/>
      <c r="D143" s="81"/>
      <c r="E143" s="81"/>
      <c r="F143" s="81"/>
      <c r="G143" s="81"/>
      <c r="H143" s="81"/>
      <c r="I143" s="81"/>
      <c r="J143" s="81"/>
    </row>
    <row r="144" spans="1:10" x14ac:dyDescent="0.3">
      <c r="A144" s="82"/>
      <c r="B144" s="83"/>
      <c r="C144" s="83"/>
      <c r="D144" s="68"/>
      <c r="E144" s="68"/>
      <c r="F144" s="65"/>
      <c r="G144" s="84"/>
      <c r="H144" s="85" t="s">
        <v>14</v>
      </c>
      <c r="I144" s="86"/>
      <c r="J144" s="87"/>
    </row>
    <row r="145" spans="1:10" ht="21" x14ac:dyDescent="0.3">
      <c r="A145" s="486" t="s">
        <v>66</v>
      </c>
      <c r="B145" s="487"/>
      <c r="C145" s="488"/>
      <c r="D145" s="88"/>
      <c r="E145" s="89"/>
      <c r="F145" s="65"/>
      <c r="G145" s="90"/>
      <c r="H145" s="91">
        <f>SUM(F148:F151)</f>
        <v>353</v>
      </c>
      <c r="I145" s="92"/>
      <c r="J145" s="93"/>
    </row>
    <row r="146" spans="1:10" x14ac:dyDescent="0.3">
      <c r="A146" s="94"/>
      <c r="B146" s="95" t="s">
        <v>2</v>
      </c>
      <c r="C146" s="95" t="s">
        <v>3</v>
      </c>
      <c r="D146" s="95" t="s">
        <v>4</v>
      </c>
      <c r="E146" s="96" t="s">
        <v>5</v>
      </c>
      <c r="F146" s="97" t="s">
        <v>6</v>
      </c>
      <c r="G146" s="95" t="s">
        <v>7</v>
      </c>
      <c r="H146" s="96" t="s">
        <v>8</v>
      </c>
      <c r="I146" s="146" t="s">
        <v>9</v>
      </c>
      <c r="J146" s="147"/>
    </row>
    <row r="147" spans="1:10" x14ac:dyDescent="0.3">
      <c r="A147" s="94"/>
      <c r="B147" s="95" t="s">
        <v>11</v>
      </c>
      <c r="C147" s="98"/>
      <c r="D147" s="98"/>
      <c r="E147" s="47"/>
      <c r="F147" s="97"/>
      <c r="G147" s="99"/>
      <c r="H147" s="100"/>
      <c r="I147" s="148"/>
      <c r="J147" s="147"/>
    </row>
    <row r="148" spans="1:10" x14ac:dyDescent="0.3">
      <c r="A148" s="101"/>
      <c r="B148" s="103" t="s">
        <v>17</v>
      </c>
      <c r="C148" s="103" t="s">
        <v>18</v>
      </c>
      <c r="D148" s="104" t="s">
        <v>15</v>
      </c>
      <c r="E148" s="104">
        <v>2</v>
      </c>
      <c r="F148" s="97">
        <v>99</v>
      </c>
      <c r="G148" s="105"/>
      <c r="H148" s="102" t="s">
        <v>19</v>
      </c>
      <c r="I148" s="148" t="s">
        <v>210</v>
      </c>
      <c r="J148" s="98"/>
    </row>
    <row r="149" spans="1:10" x14ac:dyDescent="0.3">
      <c r="A149" s="101"/>
      <c r="B149" s="117" t="s">
        <v>20</v>
      </c>
      <c r="C149" s="103" t="s">
        <v>12</v>
      </c>
      <c r="D149" s="104" t="s">
        <v>15</v>
      </c>
      <c r="E149" s="104">
        <v>2</v>
      </c>
      <c r="F149" s="97">
        <v>141</v>
      </c>
      <c r="G149" s="105"/>
      <c r="H149" s="102" t="s">
        <v>21</v>
      </c>
      <c r="I149" s="148" t="s">
        <v>363</v>
      </c>
      <c r="J149" s="98"/>
    </row>
    <row r="150" spans="1:10" x14ac:dyDescent="0.3">
      <c r="A150" s="101"/>
      <c r="B150" s="103" t="s">
        <v>22</v>
      </c>
      <c r="C150" s="103" t="s">
        <v>12</v>
      </c>
      <c r="D150" s="104" t="s">
        <v>15</v>
      </c>
      <c r="E150" s="104">
        <v>2</v>
      </c>
      <c r="F150" s="97">
        <v>113</v>
      </c>
      <c r="G150" s="105"/>
      <c r="H150" s="117" t="s">
        <v>23</v>
      </c>
      <c r="I150" s="148" t="s">
        <v>371</v>
      </c>
      <c r="J150" s="98"/>
    </row>
    <row r="151" spans="1:10" x14ac:dyDescent="0.3">
      <c r="A151" s="101"/>
      <c r="B151" s="102"/>
      <c r="C151" s="103"/>
      <c r="D151" s="104"/>
      <c r="E151" s="104"/>
      <c r="F151" s="105"/>
      <c r="G151" s="105"/>
      <c r="H151" s="103"/>
      <c r="I151" s="148"/>
      <c r="J151" s="98"/>
    </row>
    <row r="152" spans="1:10" s="64" customFormat="1" x14ac:dyDescent="0.25">
      <c r="A152" s="42"/>
      <c r="B152" s="39"/>
      <c r="C152" s="39"/>
      <c r="D152" s="37"/>
      <c r="E152" s="37"/>
      <c r="F152" s="38"/>
      <c r="G152" s="26"/>
      <c r="H152" s="39"/>
      <c r="I152" s="53"/>
      <c r="J152" s="38"/>
    </row>
    <row r="153" spans="1:10" ht="24.6" x14ac:dyDescent="0.4">
      <c r="A153" s="490" t="s">
        <v>357</v>
      </c>
      <c r="B153" s="491"/>
      <c r="C153" s="492"/>
      <c r="D153" s="6"/>
      <c r="E153" s="7"/>
      <c r="F153" s="8"/>
      <c r="G153" s="9"/>
      <c r="H153" s="10"/>
      <c r="I153" s="9"/>
      <c r="J153" s="10"/>
    </row>
    <row r="154" spans="1:10" x14ac:dyDescent="0.3">
      <c r="A154" s="11"/>
      <c r="B154" s="12"/>
      <c r="C154" s="12"/>
      <c r="D154" s="13"/>
      <c r="E154" s="13"/>
      <c r="F154" s="14"/>
      <c r="G154" s="13"/>
      <c r="H154" s="15"/>
      <c r="I154" s="16" t="s">
        <v>0</v>
      </c>
      <c r="J154" s="17"/>
    </row>
    <row r="155" spans="1:10" ht="21" x14ac:dyDescent="0.4">
      <c r="A155" s="486" t="s">
        <v>147</v>
      </c>
      <c r="B155" s="487"/>
      <c r="C155" s="488"/>
      <c r="D155" s="13"/>
      <c r="E155" s="17"/>
      <c r="F155" s="18"/>
      <c r="G155" s="19"/>
      <c r="H155" s="20"/>
      <c r="I155" s="21">
        <f>SUM(F158:F158)</f>
        <v>0</v>
      </c>
      <c r="J155" s="22"/>
    </row>
    <row r="156" spans="1:10" x14ac:dyDescent="0.3">
      <c r="A156" s="13"/>
      <c r="B156" s="23" t="s">
        <v>2</v>
      </c>
      <c r="C156" s="23" t="s">
        <v>3</v>
      </c>
      <c r="D156" s="24" t="s">
        <v>4</v>
      </c>
      <c r="E156" s="25" t="s">
        <v>5</v>
      </c>
      <c r="F156" s="26" t="s">
        <v>6</v>
      </c>
      <c r="G156" s="24" t="s">
        <v>7</v>
      </c>
      <c r="H156" s="27" t="s">
        <v>8</v>
      </c>
      <c r="I156" s="23" t="s">
        <v>9</v>
      </c>
      <c r="J156" s="28" t="s">
        <v>10</v>
      </c>
    </row>
    <row r="157" spans="1:10" x14ac:dyDescent="0.3">
      <c r="A157" s="13"/>
      <c r="B157" s="29" t="s">
        <v>11</v>
      </c>
      <c r="C157" s="30"/>
      <c r="D157" s="30"/>
      <c r="E157" s="31"/>
      <c r="F157" s="32"/>
      <c r="G157" s="30"/>
      <c r="H157" s="31"/>
      <c r="I157" s="33"/>
      <c r="J157" s="34"/>
    </row>
    <row r="158" spans="1:10" x14ac:dyDescent="0.25">
      <c r="A158" s="42"/>
      <c r="B158" s="44" t="s">
        <v>152</v>
      </c>
      <c r="C158" s="39"/>
      <c r="D158" s="37"/>
      <c r="E158" s="37"/>
      <c r="F158" s="38"/>
      <c r="G158" s="14"/>
      <c r="H158" s="39"/>
      <c r="I158" s="43"/>
      <c r="J158" s="38"/>
    </row>
    <row r="159" spans="1:10" x14ac:dyDescent="0.25">
      <c r="A159" s="42"/>
      <c r="B159" s="55"/>
      <c r="C159" s="108"/>
      <c r="D159" s="66"/>
      <c r="E159" s="66"/>
      <c r="F159" s="56"/>
      <c r="G159" s="67"/>
      <c r="H159" s="108"/>
      <c r="I159" s="43"/>
      <c r="J159" s="38"/>
    </row>
    <row r="160" spans="1:10" x14ac:dyDescent="0.3">
      <c r="A160" s="11"/>
      <c r="B160" s="12"/>
      <c r="C160" s="12"/>
      <c r="D160" s="13"/>
      <c r="E160" s="13"/>
      <c r="F160" s="14"/>
      <c r="G160" s="13"/>
      <c r="H160" s="47" t="s">
        <v>14</v>
      </c>
      <c r="I160" s="17"/>
      <c r="J160" s="17"/>
    </row>
    <row r="161" spans="1:10" s="63" customFormat="1" ht="21" x14ac:dyDescent="0.4">
      <c r="A161" s="489" t="s">
        <v>128</v>
      </c>
      <c r="B161" s="489"/>
      <c r="C161" s="489"/>
      <c r="D161" s="13"/>
      <c r="E161" s="17"/>
      <c r="F161" s="18"/>
      <c r="G161" s="19"/>
      <c r="H161" s="48">
        <f>SUM(F164:F167)</f>
        <v>603</v>
      </c>
      <c r="I161" s="14"/>
      <c r="J161" s="28"/>
    </row>
    <row r="162" spans="1:10" x14ac:dyDescent="0.3">
      <c r="A162" s="13"/>
      <c r="B162" s="23" t="s">
        <v>2</v>
      </c>
      <c r="C162" s="23" t="s">
        <v>3</v>
      </c>
      <c r="D162" s="24" t="s">
        <v>4</v>
      </c>
      <c r="E162" s="25" t="s">
        <v>5</v>
      </c>
      <c r="F162" s="26" t="s">
        <v>6</v>
      </c>
      <c r="G162" s="24" t="s">
        <v>7</v>
      </c>
      <c r="H162" s="27" t="s">
        <v>8</v>
      </c>
      <c r="I162" s="154" t="s">
        <v>9</v>
      </c>
      <c r="J162" s="28"/>
    </row>
    <row r="163" spans="1:10" x14ac:dyDescent="0.3">
      <c r="A163" s="13"/>
      <c r="B163" s="29" t="s">
        <v>11</v>
      </c>
      <c r="C163" s="30"/>
      <c r="D163" s="30"/>
      <c r="E163" s="31"/>
      <c r="F163" s="32"/>
      <c r="G163" s="49"/>
      <c r="H163" s="50"/>
      <c r="I163" s="34"/>
      <c r="J163" s="34"/>
    </row>
    <row r="164" spans="1:10" ht="40.799999999999997" customHeight="1" x14ac:dyDescent="0.25">
      <c r="A164" s="42"/>
      <c r="B164" s="448" t="s">
        <v>72</v>
      </c>
      <c r="C164" s="449" t="s">
        <v>47</v>
      </c>
      <c r="D164" s="37" t="s">
        <v>15</v>
      </c>
      <c r="E164" s="37">
        <v>2</v>
      </c>
      <c r="F164" s="26">
        <v>147</v>
      </c>
      <c r="G164" s="26"/>
      <c r="H164" s="39" t="s">
        <v>175</v>
      </c>
      <c r="I164" s="131" t="s">
        <v>377</v>
      </c>
      <c r="J164" s="38"/>
    </row>
    <row r="165" spans="1:10" ht="30" x14ac:dyDescent="0.25">
      <c r="A165" s="42"/>
      <c r="B165" s="110" t="s">
        <v>67</v>
      </c>
      <c r="C165" s="46" t="s">
        <v>68</v>
      </c>
      <c r="D165" s="37" t="s">
        <v>15</v>
      </c>
      <c r="E165" s="37">
        <v>2</v>
      </c>
      <c r="F165" s="38">
        <f>(108+297+51)</f>
        <v>456</v>
      </c>
      <c r="G165" s="14"/>
      <c r="H165" s="46" t="s">
        <v>141</v>
      </c>
      <c r="I165" s="46" t="s">
        <v>366</v>
      </c>
      <c r="J165" s="38"/>
    </row>
    <row r="166" spans="1:10" x14ac:dyDescent="0.25">
      <c r="A166" s="42"/>
      <c r="B166" s="110"/>
      <c r="C166" s="110"/>
      <c r="D166" s="42"/>
      <c r="E166" s="42"/>
      <c r="F166" s="38"/>
      <c r="G166" s="26"/>
      <c r="H166" s="39"/>
      <c r="I166" s="53"/>
      <c r="J166" s="38"/>
    </row>
    <row r="167" spans="1:10" x14ac:dyDescent="0.25">
      <c r="A167" s="42"/>
      <c r="B167" s="44"/>
      <c r="C167" s="44"/>
      <c r="D167" s="37"/>
      <c r="E167" s="37"/>
      <c r="F167" s="38"/>
      <c r="G167" s="26"/>
      <c r="H167" s="54"/>
      <c r="I167" s="53"/>
      <c r="J167" s="38"/>
    </row>
    <row r="168" spans="1:10" s="63" customFormat="1" ht="21" x14ac:dyDescent="0.4">
      <c r="A168" s="489" t="s">
        <v>369</v>
      </c>
      <c r="B168" s="489"/>
      <c r="C168" s="489"/>
      <c r="D168" s="13"/>
      <c r="E168" s="17"/>
      <c r="F168" s="18"/>
      <c r="G168" s="19"/>
      <c r="H168" s="48">
        <f>SUM(F171:F176)</f>
        <v>647</v>
      </c>
      <c r="I168" s="14"/>
      <c r="J168" s="28"/>
    </row>
    <row r="169" spans="1:10" x14ac:dyDescent="0.3">
      <c r="A169" s="13"/>
      <c r="B169" s="23" t="s">
        <v>2</v>
      </c>
      <c r="C169" s="23" t="s">
        <v>3</v>
      </c>
      <c r="D169" s="24" t="s">
        <v>4</v>
      </c>
      <c r="E169" s="25" t="s">
        <v>5</v>
      </c>
      <c r="F169" s="26" t="s">
        <v>6</v>
      </c>
      <c r="G169" s="24" t="s">
        <v>7</v>
      </c>
      <c r="H169" s="27" t="s">
        <v>8</v>
      </c>
      <c r="I169" s="23" t="s">
        <v>9</v>
      </c>
      <c r="J169" s="28"/>
    </row>
    <row r="170" spans="1:10" x14ac:dyDescent="0.3">
      <c r="A170" s="13"/>
      <c r="B170" s="29" t="s">
        <v>11</v>
      </c>
      <c r="C170" s="30"/>
      <c r="D170" s="30"/>
      <c r="E170" s="31"/>
      <c r="F170" s="32"/>
      <c r="G170" s="49"/>
      <c r="H170" s="50"/>
      <c r="I170" s="33"/>
      <c r="J170" s="34"/>
    </row>
    <row r="171" spans="1:10" x14ac:dyDescent="0.25">
      <c r="A171" s="42"/>
      <c r="B171" s="51" t="s">
        <v>69</v>
      </c>
      <c r="C171" s="52" t="s">
        <v>45</v>
      </c>
      <c r="D171" s="37" t="s">
        <v>15</v>
      </c>
      <c r="E171" s="37">
        <v>2</v>
      </c>
      <c r="F171" s="26">
        <v>63</v>
      </c>
      <c r="G171" s="26"/>
      <c r="H171" s="39" t="s">
        <v>173</v>
      </c>
      <c r="I171" s="53" t="s">
        <v>361</v>
      </c>
      <c r="J171" s="38"/>
    </row>
    <row r="172" spans="1:10" x14ac:dyDescent="0.25">
      <c r="A172" s="42"/>
      <c r="B172" s="51" t="s">
        <v>70</v>
      </c>
      <c r="C172" s="52" t="s">
        <v>34</v>
      </c>
      <c r="D172" s="37" t="s">
        <v>15</v>
      </c>
      <c r="E172" s="37">
        <v>2</v>
      </c>
      <c r="F172" s="26">
        <v>243</v>
      </c>
      <c r="G172" s="26"/>
      <c r="H172" s="39" t="s">
        <v>172</v>
      </c>
      <c r="I172" s="53" t="s">
        <v>365</v>
      </c>
      <c r="J172" s="38"/>
    </row>
    <row r="173" spans="1:10" x14ac:dyDescent="0.25">
      <c r="A173" s="42"/>
      <c r="B173" s="51" t="s">
        <v>73</v>
      </c>
      <c r="C173" s="52" t="s">
        <v>12</v>
      </c>
      <c r="D173" s="37" t="s">
        <v>15</v>
      </c>
      <c r="E173" s="37">
        <v>2</v>
      </c>
      <c r="F173" s="26">
        <v>144</v>
      </c>
      <c r="G173" s="26"/>
      <c r="H173" s="39" t="s">
        <v>176</v>
      </c>
      <c r="I173" s="53" t="s">
        <v>371</v>
      </c>
      <c r="J173" s="38"/>
    </row>
    <row r="174" spans="1:10" x14ac:dyDescent="0.25">
      <c r="A174" s="42"/>
      <c r="B174" s="51" t="s">
        <v>74</v>
      </c>
      <c r="C174" s="52" t="s">
        <v>12</v>
      </c>
      <c r="D174" s="37" t="s">
        <v>15</v>
      </c>
      <c r="E174" s="37">
        <v>2</v>
      </c>
      <c r="F174" s="26">
        <v>110</v>
      </c>
      <c r="G174" s="26"/>
      <c r="H174" s="39" t="s">
        <v>177</v>
      </c>
      <c r="I174" s="53" t="s">
        <v>364</v>
      </c>
      <c r="J174" s="38"/>
    </row>
    <row r="175" spans="1:10" x14ac:dyDescent="0.25">
      <c r="A175" s="42"/>
      <c r="B175" s="51" t="s">
        <v>71</v>
      </c>
      <c r="C175" s="52" t="s">
        <v>18</v>
      </c>
      <c r="D175" s="37" t="s">
        <v>15</v>
      </c>
      <c r="E175" s="37">
        <v>2</v>
      </c>
      <c r="F175" s="26">
        <v>87</v>
      </c>
      <c r="G175" s="26"/>
      <c r="H175" s="39" t="s">
        <v>174</v>
      </c>
      <c r="I175" s="53" t="s">
        <v>439</v>
      </c>
      <c r="J175" s="38"/>
    </row>
    <row r="176" spans="1:10" x14ac:dyDescent="0.25">
      <c r="A176" s="42"/>
      <c r="B176" s="44"/>
      <c r="C176" s="44"/>
      <c r="D176" s="37"/>
      <c r="E176" s="37"/>
      <c r="F176" s="38"/>
      <c r="G176" s="26"/>
      <c r="H176" s="54"/>
      <c r="I176" s="53"/>
      <c r="J176" s="38"/>
    </row>
    <row r="177" spans="1:10" ht="24.6" x14ac:dyDescent="0.4">
      <c r="A177" s="490" t="s">
        <v>358</v>
      </c>
      <c r="B177" s="491"/>
      <c r="C177" s="492"/>
      <c r="D177" s="6"/>
      <c r="E177" s="7"/>
      <c r="F177" s="8"/>
      <c r="G177" s="9"/>
      <c r="H177" s="10"/>
      <c r="I177" s="9"/>
      <c r="J177" s="10"/>
    </row>
    <row r="178" spans="1:10" x14ac:dyDescent="0.3">
      <c r="A178" s="11"/>
      <c r="B178" s="12"/>
      <c r="C178" s="12"/>
      <c r="D178" s="13"/>
      <c r="E178" s="13"/>
      <c r="F178" s="14"/>
      <c r="G178" s="13"/>
      <c r="H178" s="15"/>
      <c r="I178" s="16" t="s">
        <v>0</v>
      </c>
      <c r="J178" s="17"/>
    </row>
    <row r="179" spans="1:10" ht="21" x14ac:dyDescent="0.4">
      <c r="A179" s="486" t="s">
        <v>1</v>
      </c>
      <c r="B179" s="487"/>
      <c r="C179" s="488"/>
      <c r="D179" s="13"/>
      <c r="E179" s="17"/>
      <c r="F179" s="18"/>
      <c r="G179" s="19"/>
      <c r="H179" s="20"/>
      <c r="I179" s="21">
        <f>SUM(F182:F183)</f>
        <v>63</v>
      </c>
      <c r="J179" s="22"/>
    </row>
    <row r="180" spans="1:10" x14ac:dyDescent="0.3">
      <c r="A180" s="13"/>
      <c r="B180" s="23" t="s">
        <v>2</v>
      </c>
      <c r="C180" s="23" t="s">
        <v>3</v>
      </c>
      <c r="D180" s="24" t="s">
        <v>4</v>
      </c>
      <c r="E180" s="25" t="s">
        <v>5</v>
      </c>
      <c r="F180" s="26" t="s">
        <v>6</v>
      </c>
      <c r="G180" s="24" t="s">
        <v>7</v>
      </c>
      <c r="H180" s="27" t="s">
        <v>8</v>
      </c>
      <c r="I180" s="23" t="s">
        <v>9</v>
      </c>
      <c r="J180" s="28" t="s">
        <v>10</v>
      </c>
    </row>
    <row r="181" spans="1:10" x14ac:dyDescent="0.3">
      <c r="A181" s="13"/>
      <c r="B181" s="29" t="s">
        <v>11</v>
      </c>
      <c r="C181" s="30"/>
      <c r="D181" s="30"/>
      <c r="E181" s="31"/>
      <c r="F181" s="32"/>
      <c r="G181" s="30"/>
      <c r="H181" s="31"/>
      <c r="I181" s="33"/>
      <c r="J181" s="34"/>
    </row>
    <row r="182" spans="1:10" x14ac:dyDescent="0.3">
      <c r="A182" s="13"/>
      <c r="B182" s="44" t="s">
        <v>76</v>
      </c>
      <c r="C182" s="44" t="s">
        <v>29</v>
      </c>
      <c r="D182" s="42" t="s">
        <v>30</v>
      </c>
      <c r="E182" s="42">
        <v>3</v>
      </c>
      <c r="F182" s="38">
        <v>63</v>
      </c>
      <c r="G182" s="14"/>
      <c r="H182" s="40" t="s">
        <v>142</v>
      </c>
      <c r="I182" s="40" t="s">
        <v>346</v>
      </c>
      <c r="J182" s="41"/>
    </row>
    <row r="183" spans="1:10" x14ac:dyDescent="0.25">
      <c r="A183" s="42"/>
      <c r="B183" s="55"/>
      <c r="C183" s="108"/>
      <c r="D183" s="66"/>
      <c r="E183" s="66"/>
      <c r="F183" s="56"/>
      <c r="G183" s="67"/>
      <c r="H183" s="108"/>
      <c r="I183" s="43"/>
      <c r="J183" s="38"/>
    </row>
    <row r="184" spans="1:10" x14ac:dyDescent="0.25">
      <c r="A184" s="42"/>
      <c r="B184" s="55"/>
      <c r="C184" s="108"/>
      <c r="D184" s="66"/>
      <c r="E184" s="66"/>
      <c r="F184" s="56"/>
      <c r="G184" s="67"/>
      <c r="H184" s="108"/>
      <c r="I184" s="43"/>
      <c r="J184" s="38"/>
    </row>
    <row r="185" spans="1:10" x14ac:dyDescent="0.3">
      <c r="A185" s="11"/>
      <c r="B185" s="12"/>
      <c r="C185" s="12"/>
      <c r="D185" s="13"/>
      <c r="E185" s="13"/>
      <c r="F185" s="14"/>
      <c r="G185" s="13"/>
      <c r="H185" s="47" t="s">
        <v>14</v>
      </c>
      <c r="I185" s="17"/>
      <c r="J185" s="17"/>
    </row>
    <row r="186" spans="1:10" s="63" customFormat="1" ht="21" x14ac:dyDescent="0.4">
      <c r="A186" s="489" t="s">
        <v>128</v>
      </c>
      <c r="B186" s="489"/>
      <c r="C186" s="489"/>
      <c r="D186" s="13"/>
      <c r="E186" s="17"/>
      <c r="F186" s="18"/>
      <c r="G186" s="19"/>
      <c r="H186" s="48">
        <f>SUM(F189:F190)</f>
        <v>410</v>
      </c>
      <c r="I186" s="14"/>
      <c r="J186" s="28"/>
    </row>
    <row r="187" spans="1:10" x14ac:dyDescent="0.3">
      <c r="A187" s="13"/>
      <c r="B187" s="23" t="s">
        <v>2</v>
      </c>
      <c r="C187" s="23" t="s">
        <v>3</v>
      </c>
      <c r="D187" s="24" t="s">
        <v>4</v>
      </c>
      <c r="E187" s="25" t="s">
        <v>5</v>
      </c>
      <c r="F187" s="26" t="s">
        <v>6</v>
      </c>
      <c r="G187" s="24" t="s">
        <v>7</v>
      </c>
      <c r="H187" s="27" t="s">
        <v>8</v>
      </c>
      <c r="I187" s="23" t="s">
        <v>9</v>
      </c>
      <c r="J187" s="28"/>
    </row>
    <row r="188" spans="1:10" x14ac:dyDescent="0.3">
      <c r="A188" s="13"/>
      <c r="B188" s="29" t="s">
        <v>11</v>
      </c>
      <c r="C188" s="30"/>
      <c r="D188" s="30"/>
      <c r="E188" s="31"/>
      <c r="F188" s="32"/>
      <c r="G188" s="49"/>
      <c r="H188" s="50"/>
      <c r="I188" s="33"/>
      <c r="J188" s="34"/>
    </row>
    <row r="189" spans="1:10" x14ac:dyDescent="0.25">
      <c r="A189" s="42"/>
      <c r="B189" s="44" t="s">
        <v>78</v>
      </c>
      <c r="C189" s="44" t="s">
        <v>45</v>
      </c>
      <c r="D189" s="42" t="s">
        <v>15</v>
      </c>
      <c r="E189" s="42">
        <v>2</v>
      </c>
      <c r="F189" s="26">
        <v>244</v>
      </c>
      <c r="G189" s="26"/>
      <c r="H189" s="39" t="s">
        <v>179</v>
      </c>
      <c r="I189" s="53" t="s">
        <v>378</v>
      </c>
      <c r="J189" s="38"/>
    </row>
    <row r="190" spans="1:10" x14ac:dyDescent="0.25">
      <c r="A190" s="42"/>
      <c r="B190" s="44" t="s">
        <v>79</v>
      </c>
      <c r="C190" s="44" t="s">
        <v>36</v>
      </c>
      <c r="D190" s="42" t="s">
        <v>15</v>
      </c>
      <c r="E190" s="42">
        <v>2</v>
      </c>
      <c r="F190" s="26">
        <v>166</v>
      </c>
      <c r="G190" s="26"/>
      <c r="H190" s="39" t="s">
        <v>170</v>
      </c>
      <c r="I190" s="53" t="s">
        <v>376</v>
      </c>
      <c r="J190" s="38"/>
    </row>
    <row r="191" spans="1:10" x14ac:dyDescent="0.25">
      <c r="A191" s="42"/>
      <c r="B191" s="44"/>
      <c r="C191" s="44"/>
      <c r="D191" s="42"/>
      <c r="E191" s="42"/>
      <c r="F191" s="38"/>
      <c r="G191" s="26"/>
      <c r="H191" s="39"/>
      <c r="I191" s="53"/>
      <c r="J191" s="38"/>
    </row>
    <row r="192" spans="1:10" x14ac:dyDescent="0.25">
      <c r="A192" s="42"/>
      <c r="B192" s="44"/>
      <c r="C192" s="44"/>
      <c r="D192" s="42"/>
      <c r="E192" s="42"/>
      <c r="F192" s="38"/>
      <c r="G192" s="26"/>
      <c r="H192" s="39"/>
      <c r="I192" s="53"/>
      <c r="J192" s="38"/>
    </row>
    <row r="193" spans="1:10" s="63" customFormat="1" ht="21" x14ac:dyDescent="0.4">
      <c r="A193" s="489" t="s">
        <v>381</v>
      </c>
      <c r="B193" s="489"/>
      <c r="C193" s="489"/>
      <c r="D193" s="13"/>
      <c r="E193" s="17"/>
      <c r="F193" s="18"/>
      <c r="G193" s="19"/>
      <c r="H193" s="48">
        <f>SUM(F196:F197)</f>
        <v>416</v>
      </c>
      <c r="I193" s="14"/>
      <c r="J193" s="28"/>
    </row>
    <row r="194" spans="1:10" x14ac:dyDescent="0.3">
      <c r="A194" s="13"/>
      <c r="B194" s="23" t="s">
        <v>2</v>
      </c>
      <c r="C194" s="23" t="s">
        <v>3</v>
      </c>
      <c r="D194" s="24" t="s">
        <v>4</v>
      </c>
      <c r="E194" s="25" t="s">
        <v>5</v>
      </c>
      <c r="F194" s="26" t="s">
        <v>6</v>
      </c>
      <c r="G194" s="24" t="s">
        <v>7</v>
      </c>
      <c r="H194" s="27" t="s">
        <v>8</v>
      </c>
      <c r="I194" s="23" t="s">
        <v>9</v>
      </c>
      <c r="J194" s="28"/>
    </row>
    <row r="195" spans="1:10" x14ac:dyDescent="0.3">
      <c r="A195" s="13"/>
      <c r="B195" s="29" t="s">
        <v>11</v>
      </c>
      <c r="C195" s="30"/>
      <c r="D195" s="30"/>
      <c r="E195" s="31"/>
      <c r="F195" s="32"/>
      <c r="G195" s="49"/>
      <c r="H195" s="50"/>
      <c r="I195" s="33"/>
      <c r="J195" s="34"/>
    </row>
    <row r="196" spans="1:10" ht="30" x14ac:dyDescent="0.25">
      <c r="A196" s="42"/>
      <c r="B196" s="44" t="s">
        <v>75</v>
      </c>
      <c r="C196" s="44" t="s">
        <v>27</v>
      </c>
      <c r="D196" s="42" t="s">
        <v>15</v>
      </c>
      <c r="E196" s="42">
        <v>2</v>
      </c>
      <c r="F196" s="26">
        <v>332</v>
      </c>
      <c r="G196" s="26"/>
      <c r="H196" s="39" t="s">
        <v>178</v>
      </c>
      <c r="I196" s="458" t="s">
        <v>379</v>
      </c>
      <c r="J196" s="38"/>
    </row>
    <row r="197" spans="1:10" x14ac:dyDescent="0.25">
      <c r="A197" s="42"/>
      <c r="B197" s="44" t="s">
        <v>80</v>
      </c>
      <c r="C197" s="44" t="s">
        <v>47</v>
      </c>
      <c r="D197" s="42" t="s">
        <v>15</v>
      </c>
      <c r="E197" s="42">
        <v>2</v>
      </c>
      <c r="F197" s="38">
        <v>84</v>
      </c>
      <c r="G197" s="26"/>
      <c r="H197" s="39" t="s">
        <v>140</v>
      </c>
      <c r="I197" s="53" t="s">
        <v>374</v>
      </c>
      <c r="J197" s="38"/>
    </row>
    <row r="198" spans="1:10" x14ac:dyDescent="0.25">
      <c r="A198" s="42"/>
      <c r="B198" s="44"/>
      <c r="C198" s="44"/>
      <c r="D198" s="42"/>
      <c r="E198" s="42"/>
      <c r="F198" s="38"/>
      <c r="G198" s="26"/>
      <c r="H198" s="39"/>
      <c r="I198" s="53"/>
      <c r="J198" s="38"/>
    </row>
    <row r="199" spans="1:10" x14ac:dyDescent="0.25">
      <c r="A199" s="42"/>
      <c r="B199" s="44"/>
      <c r="C199" s="44"/>
      <c r="D199" s="42"/>
      <c r="E199" s="42"/>
      <c r="F199" s="38"/>
      <c r="G199" s="26"/>
      <c r="H199" s="39"/>
      <c r="I199" s="53"/>
      <c r="J199" s="38"/>
    </row>
    <row r="200" spans="1:10" s="63" customFormat="1" ht="21" x14ac:dyDescent="0.4">
      <c r="A200" s="489" t="s">
        <v>432</v>
      </c>
      <c r="B200" s="489"/>
      <c r="C200" s="489"/>
      <c r="D200" s="13"/>
      <c r="E200" s="17"/>
      <c r="F200" s="18"/>
      <c r="G200" s="19"/>
      <c r="H200" s="48">
        <f>SUM(F203:F204)</f>
        <v>816</v>
      </c>
      <c r="I200" s="14"/>
      <c r="J200" s="28"/>
    </row>
    <row r="201" spans="1:10" x14ac:dyDescent="0.3">
      <c r="A201" s="13"/>
      <c r="B201" s="23" t="s">
        <v>2</v>
      </c>
      <c r="C201" s="23" t="s">
        <v>3</v>
      </c>
      <c r="D201" s="24" t="s">
        <v>4</v>
      </c>
      <c r="E201" s="25" t="s">
        <v>5</v>
      </c>
      <c r="F201" s="26" t="s">
        <v>6</v>
      </c>
      <c r="G201" s="24" t="s">
        <v>7</v>
      </c>
      <c r="H201" s="27" t="s">
        <v>8</v>
      </c>
      <c r="I201" s="23" t="s">
        <v>9</v>
      </c>
      <c r="J201" s="28"/>
    </row>
    <row r="202" spans="1:10" x14ac:dyDescent="0.3">
      <c r="A202" s="13"/>
      <c r="B202" s="29" t="s">
        <v>11</v>
      </c>
      <c r="C202" s="30"/>
      <c r="D202" s="30"/>
      <c r="E202" s="31"/>
      <c r="F202" s="32"/>
      <c r="G202" s="49"/>
      <c r="H202" s="50"/>
      <c r="I202" s="33"/>
      <c r="J202" s="34"/>
    </row>
    <row r="203" spans="1:10" ht="97.2" customHeight="1" x14ac:dyDescent="0.25">
      <c r="A203" s="42"/>
      <c r="B203" s="45" t="s">
        <v>125</v>
      </c>
      <c r="C203" s="45" t="s">
        <v>95</v>
      </c>
      <c r="D203" s="42" t="s">
        <v>15</v>
      </c>
      <c r="E203" s="42">
        <v>2</v>
      </c>
      <c r="F203" s="14">
        <f>342+474</f>
        <v>816</v>
      </c>
      <c r="G203" s="37"/>
      <c r="H203" s="19" t="s">
        <v>126</v>
      </c>
      <c r="I203" s="131" t="s">
        <v>384</v>
      </c>
      <c r="J203" s="145" t="s">
        <v>434</v>
      </c>
    </row>
    <row r="204" spans="1:10" x14ac:dyDescent="0.25">
      <c r="A204" s="42"/>
      <c r="B204" s="44"/>
      <c r="C204" s="44"/>
      <c r="D204" s="42"/>
      <c r="E204" s="42"/>
      <c r="F204" s="38"/>
      <c r="G204" s="26"/>
      <c r="H204" s="39"/>
      <c r="I204" s="53"/>
      <c r="J204" s="38"/>
    </row>
    <row r="205" spans="1:10" x14ac:dyDescent="0.25">
      <c r="A205" s="42"/>
      <c r="B205" s="44"/>
      <c r="C205" s="44"/>
      <c r="D205" s="42"/>
      <c r="E205" s="42"/>
      <c r="F205" s="38"/>
      <c r="G205" s="26"/>
      <c r="H205" s="39"/>
      <c r="I205" s="53"/>
      <c r="J205" s="38"/>
    </row>
    <row r="206" spans="1:10" x14ac:dyDescent="0.25">
      <c r="A206" s="42"/>
      <c r="B206" s="44"/>
      <c r="C206" s="44"/>
      <c r="D206" s="42"/>
      <c r="E206" s="42"/>
      <c r="F206" s="38"/>
      <c r="G206" s="26"/>
      <c r="H206" s="39"/>
      <c r="I206" s="53"/>
      <c r="J206" s="38"/>
    </row>
    <row r="207" spans="1:10" ht="24.6" x14ac:dyDescent="0.4">
      <c r="A207" s="490" t="s">
        <v>359</v>
      </c>
      <c r="B207" s="491"/>
      <c r="C207" s="492"/>
      <c r="D207" s="6"/>
      <c r="E207" s="7"/>
      <c r="F207" s="8"/>
      <c r="G207" s="9"/>
      <c r="H207" s="10"/>
      <c r="I207" s="9"/>
      <c r="J207" s="10"/>
    </row>
    <row r="208" spans="1:10" x14ac:dyDescent="0.3">
      <c r="A208" s="11"/>
      <c r="B208" s="12"/>
      <c r="C208" s="12"/>
      <c r="D208" s="13"/>
      <c r="E208" s="13"/>
      <c r="F208" s="14"/>
      <c r="G208" s="13"/>
      <c r="H208" s="15"/>
      <c r="I208" s="16" t="s">
        <v>0</v>
      </c>
      <c r="J208" s="17"/>
    </row>
    <row r="209" spans="1:10" ht="21" x14ac:dyDescent="0.4">
      <c r="A209" s="486" t="s">
        <v>1</v>
      </c>
      <c r="B209" s="487"/>
      <c r="C209" s="488"/>
      <c r="D209" s="13"/>
      <c r="E209" s="17"/>
      <c r="F209" s="18"/>
      <c r="G209" s="19"/>
      <c r="H209" s="20"/>
      <c r="I209" s="21">
        <f>SUM(F212:F215)</f>
        <v>494</v>
      </c>
      <c r="J209" s="22"/>
    </row>
    <row r="210" spans="1:10" x14ac:dyDescent="0.3">
      <c r="A210" s="13"/>
      <c r="B210" s="23" t="s">
        <v>2</v>
      </c>
      <c r="C210" s="23" t="s">
        <v>3</v>
      </c>
      <c r="D210" s="24" t="s">
        <v>4</v>
      </c>
      <c r="E210" s="25" t="s">
        <v>5</v>
      </c>
      <c r="F210" s="26" t="s">
        <v>6</v>
      </c>
      <c r="G210" s="24" t="s">
        <v>7</v>
      </c>
      <c r="H210" s="27" t="s">
        <v>8</v>
      </c>
      <c r="I210" s="23" t="s">
        <v>9</v>
      </c>
      <c r="J210" s="28" t="s">
        <v>10</v>
      </c>
    </row>
    <row r="211" spans="1:10" x14ac:dyDescent="0.3">
      <c r="A211" s="13"/>
      <c r="B211" s="29" t="s">
        <v>11</v>
      </c>
      <c r="C211" s="30"/>
      <c r="D211" s="30"/>
      <c r="E211" s="31"/>
      <c r="F211" s="32"/>
      <c r="G211" s="30"/>
      <c r="H211" s="31"/>
      <c r="I211" s="33"/>
      <c r="J211" s="34"/>
    </row>
    <row r="212" spans="1:10" ht="66.599999999999994" customHeight="1" x14ac:dyDescent="0.3">
      <c r="A212" s="13"/>
      <c r="B212" s="44" t="s">
        <v>81</v>
      </c>
      <c r="C212" s="46" t="s">
        <v>82</v>
      </c>
      <c r="D212" s="37" t="s">
        <v>30</v>
      </c>
      <c r="E212" s="37">
        <v>3</v>
      </c>
      <c r="F212" s="38">
        <f>(299+195)</f>
        <v>494</v>
      </c>
      <c r="G212" s="14"/>
      <c r="H212" s="46" t="s">
        <v>144</v>
      </c>
      <c r="I212" s="46" t="s">
        <v>143</v>
      </c>
      <c r="J212" s="41"/>
    </row>
    <row r="213" spans="1:10" x14ac:dyDescent="0.25">
      <c r="A213" s="42"/>
      <c r="B213" s="44"/>
      <c r="C213" s="39"/>
      <c r="D213" s="37"/>
      <c r="E213" s="37"/>
      <c r="F213" s="38"/>
      <c r="G213" s="14"/>
      <c r="H213" s="39"/>
      <c r="I213" s="43"/>
      <c r="J213" s="38"/>
    </row>
    <row r="214" spans="1:10" x14ac:dyDescent="0.25">
      <c r="A214" s="37"/>
      <c r="B214" s="45"/>
      <c r="C214" s="45"/>
      <c r="D214" s="37"/>
      <c r="E214" s="37"/>
      <c r="F214" s="14"/>
      <c r="G214" s="37"/>
      <c r="H214" s="19"/>
      <c r="I214" s="46"/>
      <c r="J214" s="18"/>
    </row>
    <row r="215" spans="1:10" x14ac:dyDescent="0.3">
      <c r="A215" s="11"/>
      <c r="B215" s="12"/>
      <c r="C215" s="12"/>
      <c r="D215" s="13"/>
      <c r="E215" s="13"/>
      <c r="F215" s="14"/>
      <c r="G215" s="13"/>
      <c r="H215" s="47" t="s">
        <v>14</v>
      </c>
      <c r="I215" s="17"/>
      <c r="J215" s="17"/>
    </row>
    <row r="216" spans="1:10" s="63" customFormat="1" ht="21" x14ac:dyDescent="0.4">
      <c r="A216" s="489" t="s">
        <v>128</v>
      </c>
      <c r="B216" s="489"/>
      <c r="C216" s="489"/>
      <c r="D216" s="13"/>
      <c r="E216" s="17"/>
      <c r="F216" s="18"/>
      <c r="G216" s="19"/>
      <c r="H216" s="48">
        <f>SUM(F219:F221)</f>
        <v>439</v>
      </c>
      <c r="I216" s="14"/>
      <c r="J216" s="28"/>
    </row>
    <row r="217" spans="1:10" x14ac:dyDescent="0.3">
      <c r="A217" s="13"/>
      <c r="B217" s="23" t="s">
        <v>2</v>
      </c>
      <c r="C217" s="23" t="s">
        <v>3</v>
      </c>
      <c r="D217" s="24" t="s">
        <v>4</v>
      </c>
      <c r="E217" s="25" t="s">
        <v>5</v>
      </c>
      <c r="F217" s="26" t="s">
        <v>6</v>
      </c>
      <c r="G217" s="24" t="s">
        <v>7</v>
      </c>
      <c r="H217" s="27" t="s">
        <v>8</v>
      </c>
      <c r="I217" s="23" t="s">
        <v>9</v>
      </c>
      <c r="J217" s="28"/>
    </row>
    <row r="218" spans="1:10" x14ac:dyDescent="0.3">
      <c r="A218" s="13"/>
      <c r="B218" s="29" t="s">
        <v>11</v>
      </c>
      <c r="C218" s="30"/>
      <c r="D218" s="30"/>
      <c r="E218" s="31"/>
      <c r="F218" s="32"/>
      <c r="G218" s="49"/>
      <c r="H218" s="50"/>
      <c r="I218" s="33"/>
      <c r="J218" s="34"/>
    </row>
    <row r="219" spans="1:10" x14ac:dyDescent="0.25">
      <c r="A219" s="42"/>
      <c r="B219" s="44" t="s">
        <v>88</v>
      </c>
      <c r="C219" s="44" t="s">
        <v>45</v>
      </c>
      <c r="D219" s="42" t="s">
        <v>15</v>
      </c>
      <c r="E219" s="42">
        <v>2</v>
      </c>
      <c r="F219" s="26">
        <v>212</v>
      </c>
      <c r="G219" s="26"/>
      <c r="H219" s="39" t="s">
        <v>182</v>
      </c>
      <c r="I219" s="53" t="s">
        <v>376</v>
      </c>
      <c r="J219" s="38"/>
    </row>
    <row r="220" spans="1:10" x14ac:dyDescent="0.25">
      <c r="A220" s="42"/>
      <c r="B220" s="45" t="s">
        <v>340</v>
      </c>
      <c r="C220" s="39" t="s">
        <v>40</v>
      </c>
      <c r="D220" s="42" t="s">
        <v>15</v>
      </c>
      <c r="E220" s="42">
        <v>2</v>
      </c>
      <c r="F220" s="26">
        <v>227</v>
      </c>
      <c r="G220" s="26"/>
      <c r="H220" s="39" t="s">
        <v>341</v>
      </c>
      <c r="I220" s="53" t="s">
        <v>378</v>
      </c>
      <c r="J220" s="38"/>
    </row>
    <row r="221" spans="1:10" x14ac:dyDescent="0.25">
      <c r="A221" s="42"/>
      <c r="B221" s="44"/>
      <c r="C221" s="44"/>
      <c r="D221" s="42"/>
      <c r="E221" s="42"/>
      <c r="F221" s="26"/>
      <c r="G221" s="26"/>
      <c r="H221" s="39"/>
      <c r="I221" s="53"/>
      <c r="J221" s="38"/>
    </row>
    <row r="222" spans="1:10" s="63" customFormat="1" ht="21" x14ac:dyDescent="0.4">
      <c r="A222" s="489" t="s">
        <v>381</v>
      </c>
      <c r="B222" s="489"/>
      <c r="C222" s="489"/>
      <c r="D222" s="13"/>
      <c r="E222" s="17"/>
      <c r="F222" s="18"/>
      <c r="G222" s="19"/>
      <c r="H222" s="48">
        <f>SUM(F225:F227)</f>
        <v>338</v>
      </c>
      <c r="I222" s="14"/>
      <c r="J222" s="28"/>
    </row>
    <row r="223" spans="1:10" x14ac:dyDescent="0.3">
      <c r="A223" s="13"/>
      <c r="B223" s="23" t="s">
        <v>2</v>
      </c>
      <c r="C223" s="23" t="s">
        <v>3</v>
      </c>
      <c r="D223" s="24" t="s">
        <v>4</v>
      </c>
      <c r="E223" s="25" t="s">
        <v>5</v>
      </c>
      <c r="F223" s="26" t="s">
        <v>6</v>
      </c>
      <c r="G223" s="24" t="s">
        <v>7</v>
      </c>
      <c r="H223" s="27" t="s">
        <v>8</v>
      </c>
      <c r="I223" s="23" t="s">
        <v>9</v>
      </c>
      <c r="J223" s="28"/>
    </row>
    <row r="224" spans="1:10" x14ac:dyDescent="0.3">
      <c r="A224" s="13"/>
      <c r="B224" s="29" t="s">
        <v>11</v>
      </c>
      <c r="C224" s="30"/>
      <c r="D224" s="30"/>
      <c r="E224" s="31"/>
      <c r="F224" s="32"/>
      <c r="G224" s="49"/>
      <c r="H224" s="50"/>
      <c r="I224" s="33"/>
      <c r="J224" s="34"/>
    </row>
    <row r="225" spans="1:10" x14ac:dyDescent="0.25">
      <c r="A225" s="42"/>
      <c r="B225" s="44" t="s">
        <v>89</v>
      </c>
      <c r="C225" s="39" t="s">
        <v>12</v>
      </c>
      <c r="D225" s="42" t="s">
        <v>15</v>
      </c>
      <c r="E225" s="42">
        <v>2</v>
      </c>
      <c r="F225" s="38">
        <v>122</v>
      </c>
      <c r="G225" s="26"/>
      <c r="H225" s="39" t="s">
        <v>175</v>
      </c>
      <c r="I225" s="53" t="s">
        <v>382</v>
      </c>
      <c r="J225" s="38"/>
    </row>
    <row r="226" spans="1:10" x14ac:dyDescent="0.25">
      <c r="A226" s="42"/>
      <c r="B226" s="44" t="s">
        <v>90</v>
      </c>
      <c r="C226" s="44" t="s">
        <v>47</v>
      </c>
      <c r="D226" s="42" t="s">
        <v>15</v>
      </c>
      <c r="E226" s="42">
        <v>2</v>
      </c>
      <c r="F226" s="38">
        <v>82</v>
      </c>
      <c r="G226" s="26"/>
      <c r="H226" s="39" t="s">
        <v>183</v>
      </c>
      <c r="I226" s="53" t="s">
        <v>374</v>
      </c>
      <c r="J226" s="38"/>
    </row>
    <row r="227" spans="1:10" x14ac:dyDescent="0.25">
      <c r="A227" s="42"/>
      <c r="B227" s="44" t="s">
        <v>91</v>
      </c>
      <c r="C227" s="44" t="s">
        <v>12</v>
      </c>
      <c r="D227" s="42" t="s">
        <v>15</v>
      </c>
      <c r="E227" s="42">
        <v>2</v>
      </c>
      <c r="F227" s="38">
        <v>134</v>
      </c>
      <c r="G227" s="26"/>
      <c r="H227" s="39" t="s">
        <v>184</v>
      </c>
      <c r="I227" s="53" t="s">
        <v>363</v>
      </c>
      <c r="J227" s="38"/>
    </row>
    <row r="228" spans="1:10" x14ac:dyDescent="0.25">
      <c r="A228" s="42"/>
      <c r="B228" s="45"/>
      <c r="C228" s="45"/>
      <c r="D228" s="113"/>
      <c r="E228" s="113"/>
      <c r="F228" s="26"/>
      <c r="G228" s="26"/>
      <c r="H228" s="39"/>
      <c r="I228" s="45"/>
      <c r="J228" s="38"/>
    </row>
    <row r="229" spans="1:10" s="63" customFormat="1" ht="21" x14ac:dyDescent="0.4">
      <c r="A229" s="489" t="s">
        <v>380</v>
      </c>
      <c r="B229" s="489"/>
      <c r="C229" s="489"/>
      <c r="D229" s="13"/>
      <c r="E229" s="17"/>
      <c r="F229" s="18"/>
      <c r="G229" s="19"/>
      <c r="H229" s="48">
        <f>SUM(F232:F235)</f>
        <v>258</v>
      </c>
      <c r="I229" s="14"/>
      <c r="J229" s="28"/>
    </row>
    <row r="230" spans="1:10" x14ac:dyDescent="0.3">
      <c r="A230" s="13"/>
      <c r="B230" s="23" t="s">
        <v>2</v>
      </c>
      <c r="C230" s="23" t="s">
        <v>3</v>
      </c>
      <c r="D230" s="24" t="s">
        <v>4</v>
      </c>
      <c r="E230" s="25" t="s">
        <v>5</v>
      </c>
      <c r="F230" s="26" t="s">
        <v>6</v>
      </c>
      <c r="G230" s="24" t="s">
        <v>7</v>
      </c>
      <c r="H230" s="27" t="s">
        <v>8</v>
      </c>
      <c r="I230" s="23" t="s">
        <v>9</v>
      </c>
      <c r="J230" s="28"/>
    </row>
    <row r="231" spans="1:10" x14ac:dyDescent="0.3">
      <c r="A231" s="13"/>
      <c r="B231" s="29" t="s">
        <v>11</v>
      </c>
      <c r="C231" s="30"/>
      <c r="D231" s="30"/>
      <c r="E231" s="31"/>
      <c r="F231" s="32"/>
      <c r="G231" s="49"/>
      <c r="H231" s="50"/>
      <c r="I231" s="33"/>
      <c r="J231" s="34"/>
    </row>
    <row r="232" spans="1:10" ht="27.6" customHeight="1" x14ac:dyDescent="0.25">
      <c r="A232" s="42"/>
      <c r="B232" s="45" t="s">
        <v>48</v>
      </c>
      <c r="C232" s="45" t="s">
        <v>49</v>
      </c>
      <c r="D232" s="113" t="s">
        <v>15</v>
      </c>
      <c r="E232" s="113">
        <v>2</v>
      </c>
      <c r="F232" s="26">
        <f>127+131</f>
        <v>258</v>
      </c>
      <c r="G232" s="26"/>
      <c r="H232" s="39" t="s">
        <v>164</v>
      </c>
      <c r="I232" s="45" t="s">
        <v>378</v>
      </c>
      <c r="J232" s="38"/>
    </row>
    <row r="233" spans="1:10" x14ac:dyDescent="0.25">
      <c r="A233" s="42"/>
      <c r="B233" s="45"/>
      <c r="C233" s="45"/>
      <c r="D233" s="113"/>
      <c r="E233" s="113"/>
      <c r="F233" s="26"/>
      <c r="G233" s="26"/>
      <c r="H233" s="39"/>
      <c r="I233" s="45"/>
      <c r="J233" s="38"/>
    </row>
    <row r="234" spans="1:10" x14ac:dyDescent="0.25">
      <c r="A234" s="42"/>
      <c r="B234" s="45"/>
      <c r="C234" s="45"/>
      <c r="D234" s="113"/>
      <c r="E234" s="113"/>
      <c r="F234" s="26"/>
      <c r="G234" s="26"/>
      <c r="H234" s="39"/>
      <c r="I234" s="45"/>
      <c r="J234" s="38"/>
    </row>
    <row r="235" spans="1:10" x14ac:dyDescent="0.3">
      <c r="A235" s="13"/>
      <c r="B235" s="44"/>
      <c r="C235" s="44"/>
      <c r="D235" s="42"/>
      <c r="E235" s="42"/>
      <c r="F235" s="38"/>
      <c r="G235" s="26"/>
      <c r="H235" s="39"/>
      <c r="I235" s="53"/>
      <c r="J235" s="28"/>
    </row>
    <row r="236" spans="1:10" ht="24.6" x14ac:dyDescent="0.4">
      <c r="A236" s="493" t="s">
        <v>431</v>
      </c>
      <c r="B236" s="494"/>
      <c r="C236" s="495"/>
      <c r="D236" s="118"/>
      <c r="E236" s="119"/>
      <c r="F236" s="120"/>
      <c r="G236" s="121"/>
      <c r="H236" s="122"/>
      <c r="I236" s="121"/>
      <c r="J236" s="122"/>
    </row>
    <row r="237" spans="1:10" x14ac:dyDescent="0.3">
      <c r="A237" s="11"/>
      <c r="B237" s="12"/>
      <c r="C237" s="12"/>
      <c r="D237" s="13"/>
      <c r="E237" s="13"/>
      <c r="F237" s="14"/>
      <c r="G237" s="13"/>
      <c r="H237" s="15"/>
      <c r="I237" s="16" t="s">
        <v>0</v>
      </c>
      <c r="J237" s="17"/>
    </row>
    <row r="238" spans="1:10" ht="21" x14ac:dyDescent="0.4">
      <c r="A238" s="486" t="s">
        <v>153</v>
      </c>
      <c r="B238" s="487"/>
      <c r="C238" s="488"/>
      <c r="D238" s="13"/>
      <c r="E238" s="17"/>
      <c r="F238" s="18"/>
      <c r="G238" s="19"/>
      <c r="H238" s="20"/>
      <c r="I238" s="21">
        <f>SUM(F241:F241)</f>
        <v>80</v>
      </c>
      <c r="J238" s="22"/>
    </row>
    <row r="239" spans="1:10" x14ac:dyDescent="0.3">
      <c r="A239" s="13"/>
      <c r="B239" s="23" t="s">
        <v>2</v>
      </c>
      <c r="C239" s="23" t="s">
        <v>3</v>
      </c>
      <c r="D239" s="24" t="s">
        <v>4</v>
      </c>
      <c r="E239" s="25" t="s">
        <v>5</v>
      </c>
      <c r="F239" s="26" t="s">
        <v>6</v>
      </c>
      <c r="G239" s="24" t="s">
        <v>7</v>
      </c>
      <c r="H239" s="27" t="s">
        <v>8</v>
      </c>
      <c r="I239" s="23" t="s">
        <v>9</v>
      </c>
      <c r="J239" s="28" t="s">
        <v>10</v>
      </c>
    </row>
    <row r="240" spans="1:10" x14ac:dyDescent="0.3">
      <c r="A240" s="13"/>
      <c r="B240" s="29" t="s">
        <v>11</v>
      </c>
      <c r="C240" s="30"/>
      <c r="D240" s="30"/>
      <c r="E240" s="31"/>
      <c r="F240" s="32"/>
      <c r="G240" s="30"/>
      <c r="H240" s="31"/>
      <c r="I240" s="33"/>
      <c r="J240" s="34"/>
    </row>
    <row r="241" spans="1:10" x14ac:dyDescent="0.3">
      <c r="A241" s="13"/>
      <c r="B241" s="54" t="s">
        <v>92</v>
      </c>
      <c r="C241" s="110" t="s">
        <v>47</v>
      </c>
      <c r="D241" s="42" t="s">
        <v>15</v>
      </c>
      <c r="E241" s="42">
        <v>2</v>
      </c>
      <c r="F241" s="26">
        <v>80</v>
      </c>
      <c r="G241" s="26"/>
      <c r="H241" s="39" t="s">
        <v>154</v>
      </c>
      <c r="I241" s="40" t="s">
        <v>155</v>
      </c>
      <c r="J241" s="41"/>
    </row>
    <row r="242" spans="1:10" x14ac:dyDescent="0.25">
      <c r="A242" s="42"/>
      <c r="B242" s="55"/>
      <c r="C242" s="108"/>
      <c r="D242" s="66"/>
      <c r="E242" s="66"/>
      <c r="F242" s="56"/>
      <c r="G242" s="67"/>
      <c r="H242" s="108"/>
      <c r="I242" s="43"/>
      <c r="J242" s="38"/>
    </row>
    <row r="243" spans="1:10" x14ac:dyDescent="0.25">
      <c r="A243" s="42"/>
      <c r="B243" s="44"/>
      <c r="C243" s="44"/>
      <c r="D243" s="37"/>
      <c r="E243" s="37"/>
      <c r="F243" s="38"/>
      <c r="G243" s="26"/>
      <c r="H243" s="54"/>
      <c r="I243" s="53"/>
      <c r="J243" s="38"/>
    </row>
    <row r="245" spans="1:10" ht="21" x14ac:dyDescent="0.4">
      <c r="A245" s="69" t="s">
        <v>360</v>
      </c>
      <c r="B245" s="70"/>
      <c r="C245" s="70"/>
      <c r="D245" s="71"/>
      <c r="E245" s="72"/>
      <c r="F245" s="73"/>
      <c r="G245" s="74"/>
      <c r="H245" s="75"/>
      <c r="I245" s="75"/>
      <c r="J245" s="75"/>
    </row>
    <row r="247" spans="1:10" ht="24.6" x14ac:dyDescent="0.4">
      <c r="A247" s="502" t="s">
        <v>93</v>
      </c>
      <c r="B247" s="502"/>
      <c r="C247" s="502"/>
      <c r="D247" s="112"/>
      <c r="E247" s="112"/>
      <c r="F247" s="112"/>
      <c r="G247" s="112"/>
      <c r="H247" s="112"/>
      <c r="I247" s="112"/>
      <c r="J247" s="112"/>
    </row>
    <row r="248" spans="1:10" x14ac:dyDescent="0.3">
      <c r="A248" s="13"/>
      <c r="B248" s="23" t="s">
        <v>2</v>
      </c>
      <c r="C248" s="23" t="s">
        <v>3</v>
      </c>
      <c r="D248" s="23" t="s">
        <v>4</v>
      </c>
      <c r="E248" s="27" t="s">
        <v>5</v>
      </c>
      <c r="F248" s="14" t="s">
        <v>6</v>
      </c>
      <c r="G248" s="23" t="s">
        <v>7</v>
      </c>
      <c r="H248" s="27" t="s">
        <v>8</v>
      </c>
      <c r="I248" s="23"/>
      <c r="J248" s="28"/>
    </row>
    <row r="249" spans="1:10" x14ac:dyDescent="0.3">
      <c r="A249" s="13"/>
      <c r="B249" s="29" t="s">
        <v>11</v>
      </c>
      <c r="C249" s="30"/>
      <c r="D249" s="30"/>
      <c r="E249" s="31"/>
      <c r="F249" s="32"/>
      <c r="G249" s="49"/>
      <c r="H249" s="50"/>
      <c r="I249" s="33"/>
      <c r="J249" s="34"/>
    </row>
    <row r="250" spans="1:10" x14ac:dyDescent="0.25">
      <c r="A250" s="112">
        <v>1</v>
      </c>
      <c r="B250" s="45" t="s">
        <v>94</v>
      </c>
      <c r="C250" s="45" t="s">
        <v>95</v>
      </c>
      <c r="D250" s="112" t="s">
        <v>30</v>
      </c>
      <c r="E250" s="112">
        <v>2</v>
      </c>
      <c r="F250" s="14">
        <f>654+256</f>
        <v>910</v>
      </c>
      <c r="G250" s="37"/>
      <c r="H250" s="19" t="s">
        <v>124</v>
      </c>
      <c r="I250" s="123" t="s">
        <v>96</v>
      </c>
      <c r="J250" s="20" t="s">
        <v>97</v>
      </c>
    </row>
    <row r="251" spans="1:10" x14ac:dyDescent="0.25">
      <c r="A251" s="112">
        <v>2</v>
      </c>
      <c r="B251" s="45" t="s">
        <v>98</v>
      </c>
      <c r="C251" s="45" t="s">
        <v>99</v>
      </c>
      <c r="D251" s="112" t="s">
        <v>30</v>
      </c>
      <c r="E251" s="112">
        <v>2</v>
      </c>
      <c r="F251" s="14">
        <v>324</v>
      </c>
      <c r="G251" s="13"/>
      <c r="H251" s="19" t="s">
        <v>121</v>
      </c>
      <c r="I251" s="123" t="s">
        <v>96</v>
      </c>
      <c r="J251" s="20" t="s">
        <v>97</v>
      </c>
    </row>
    <row r="252" spans="1:10" x14ac:dyDescent="0.25">
      <c r="A252" s="112">
        <v>3</v>
      </c>
      <c r="B252" s="45" t="s">
        <v>100</v>
      </c>
      <c r="C252" s="45" t="s">
        <v>34</v>
      </c>
      <c r="D252" s="112" t="s">
        <v>30</v>
      </c>
      <c r="E252" s="112">
        <v>2</v>
      </c>
      <c r="F252" s="14">
        <v>222</v>
      </c>
      <c r="G252" s="37"/>
      <c r="H252" s="19" t="s">
        <v>101</v>
      </c>
      <c r="I252" s="123" t="s">
        <v>96</v>
      </c>
      <c r="J252" s="20" t="s">
        <v>97</v>
      </c>
    </row>
    <row r="253" spans="1:10" x14ac:dyDescent="0.25">
      <c r="A253" s="112">
        <v>4</v>
      </c>
      <c r="B253" s="45" t="s">
        <v>102</v>
      </c>
      <c r="C253" s="45" t="s">
        <v>40</v>
      </c>
      <c r="D253" s="112" t="s">
        <v>30</v>
      </c>
      <c r="E253" s="112">
        <v>2</v>
      </c>
      <c r="F253" s="14">
        <v>231</v>
      </c>
      <c r="G253" s="37"/>
      <c r="H253" s="19" t="s">
        <v>122</v>
      </c>
      <c r="I253" s="123" t="s">
        <v>96</v>
      </c>
      <c r="J253" s="20" t="s">
        <v>97</v>
      </c>
    </row>
    <row r="254" spans="1:10" x14ac:dyDescent="0.25">
      <c r="A254" s="112">
        <v>5</v>
      </c>
      <c r="B254" s="45" t="s">
        <v>103</v>
      </c>
      <c r="C254" s="45" t="s">
        <v>95</v>
      </c>
      <c r="D254" s="112" t="s">
        <v>15</v>
      </c>
      <c r="E254" s="112">
        <v>2</v>
      </c>
      <c r="F254" s="14">
        <f>624+228</f>
        <v>852</v>
      </c>
      <c r="G254" s="37"/>
      <c r="H254" s="19" t="s">
        <v>123</v>
      </c>
      <c r="I254" s="123" t="s">
        <v>96</v>
      </c>
      <c r="J254" s="20" t="s">
        <v>97</v>
      </c>
    </row>
    <row r="255" spans="1:10" x14ac:dyDescent="0.25">
      <c r="A255" s="112">
        <v>6</v>
      </c>
      <c r="B255" s="45" t="s">
        <v>125</v>
      </c>
      <c r="C255" s="45" t="s">
        <v>95</v>
      </c>
      <c r="D255" s="112" t="s">
        <v>15</v>
      </c>
      <c r="E255" s="112">
        <v>2</v>
      </c>
      <c r="F255" s="14">
        <f>342+474</f>
        <v>816</v>
      </c>
      <c r="G255" s="37"/>
      <c r="H255" s="19" t="s">
        <v>126</v>
      </c>
      <c r="I255" s="123" t="s">
        <v>96</v>
      </c>
      <c r="J255" s="20" t="s">
        <v>97</v>
      </c>
    </row>
    <row r="256" spans="1:10" x14ac:dyDescent="0.25">
      <c r="A256" s="112">
        <v>7</v>
      </c>
      <c r="B256" s="45" t="s">
        <v>48</v>
      </c>
      <c r="C256" s="45" t="s">
        <v>49</v>
      </c>
      <c r="D256" s="112" t="s">
        <v>15</v>
      </c>
      <c r="E256" s="112">
        <v>2</v>
      </c>
      <c r="F256" s="14">
        <f>127+131</f>
        <v>258</v>
      </c>
      <c r="G256" s="37"/>
      <c r="H256" s="19" t="s">
        <v>104</v>
      </c>
      <c r="I256" s="123" t="s">
        <v>96</v>
      </c>
      <c r="J256" s="20" t="s">
        <v>97</v>
      </c>
    </row>
    <row r="257" spans="1:10" x14ac:dyDescent="0.3">
      <c r="A257" s="124"/>
      <c r="B257" s="125"/>
      <c r="C257" s="126"/>
      <c r="D257" s="124"/>
      <c r="E257" s="124"/>
      <c r="F257" s="14"/>
      <c r="G257" s="124"/>
      <c r="H257" s="127"/>
      <c r="I257" s="128"/>
      <c r="J257" s="28"/>
    </row>
    <row r="258" spans="1:10" ht="24.6" x14ac:dyDescent="0.4">
      <c r="A258" s="503" t="s">
        <v>105</v>
      </c>
      <c r="B258" s="503"/>
      <c r="C258" s="503"/>
      <c r="D258" s="133"/>
      <c r="E258" s="134"/>
      <c r="F258" s="32"/>
      <c r="G258" s="133"/>
      <c r="H258" s="149"/>
      <c r="I258" s="134"/>
      <c r="J258" s="135"/>
    </row>
    <row r="259" spans="1:10" x14ac:dyDescent="0.25">
      <c r="A259" s="130"/>
      <c r="B259" s="45"/>
      <c r="C259" s="45"/>
      <c r="D259" s="37"/>
      <c r="E259" s="37"/>
      <c r="F259" s="14"/>
      <c r="G259" s="37"/>
      <c r="H259" s="45"/>
      <c r="I259" s="131"/>
      <c r="J259" s="20"/>
    </row>
    <row r="260" spans="1:10" x14ac:dyDescent="0.3">
      <c r="A260" s="132"/>
      <c r="B260" s="133" t="s">
        <v>106</v>
      </c>
      <c r="C260" s="133" t="s">
        <v>107</v>
      </c>
      <c r="D260" s="134" t="s">
        <v>15</v>
      </c>
      <c r="E260" s="134">
        <v>2</v>
      </c>
      <c r="F260" s="32">
        <v>92</v>
      </c>
      <c r="G260" s="135" t="s">
        <v>108</v>
      </c>
      <c r="H260" s="114" t="s">
        <v>109</v>
      </c>
      <c r="I260" s="136"/>
      <c r="J260" s="135" t="s">
        <v>110</v>
      </c>
    </row>
    <row r="261" spans="1:10" x14ac:dyDescent="0.3">
      <c r="A261" s="133"/>
      <c r="B261" s="114" t="s">
        <v>60</v>
      </c>
      <c r="C261" s="115" t="s">
        <v>12</v>
      </c>
      <c r="D261" s="114"/>
      <c r="E261" s="116"/>
      <c r="F261" s="32">
        <v>83</v>
      </c>
      <c r="G261" s="137" t="s">
        <v>16</v>
      </c>
      <c r="H261" s="133" t="s">
        <v>109</v>
      </c>
      <c r="I261" s="134"/>
      <c r="J261" s="135" t="s">
        <v>120</v>
      </c>
    </row>
    <row r="262" spans="1:10" x14ac:dyDescent="0.25">
      <c r="A262" s="53"/>
      <c r="B262" s="138"/>
      <c r="C262" s="139"/>
      <c r="D262" s="37"/>
      <c r="E262" s="37"/>
      <c r="F262" s="14"/>
      <c r="G262" s="37"/>
      <c r="H262" s="53"/>
      <c r="I262" s="13"/>
      <c r="J262" s="140"/>
    </row>
    <row r="263" spans="1:10" x14ac:dyDescent="0.3">
      <c r="A263" s="53">
        <v>1</v>
      </c>
      <c r="B263" s="45" t="s">
        <v>111</v>
      </c>
      <c r="C263" s="131" t="s">
        <v>45</v>
      </c>
      <c r="D263" s="39"/>
      <c r="E263" s="37"/>
      <c r="F263" s="14">
        <v>121</v>
      </c>
      <c r="G263" s="28" t="s">
        <v>112</v>
      </c>
      <c r="H263" s="141" t="s">
        <v>113</v>
      </c>
      <c r="I263" s="13"/>
      <c r="J263" s="135" t="s">
        <v>110</v>
      </c>
    </row>
    <row r="264" spans="1:10" x14ac:dyDescent="0.3">
      <c r="A264" s="53">
        <v>2</v>
      </c>
      <c r="B264" s="45" t="s">
        <v>114</v>
      </c>
      <c r="C264" s="131" t="s">
        <v>47</v>
      </c>
      <c r="D264" s="46"/>
      <c r="E264" s="39"/>
      <c r="F264" s="14">
        <v>20</v>
      </c>
      <c r="G264" s="140" t="s">
        <v>13</v>
      </c>
      <c r="H264" s="141" t="s">
        <v>115</v>
      </c>
      <c r="I264" s="129"/>
      <c r="J264" s="135" t="s">
        <v>110</v>
      </c>
    </row>
    <row r="265" spans="1:10" x14ac:dyDescent="0.3">
      <c r="A265" s="53">
        <v>3</v>
      </c>
      <c r="B265" s="45" t="s">
        <v>116</v>
      </c>
      <c r="C265" s="131" t="s">
        <v>117</v>
      </c>
      <c r="D265" s="37"/>
      <c r="E265" s="37"/>
      <c r="F265" s="14">
        <v>207</v>
      </c>
      <c r="G265" s="140" t="s">
        <v>118</v>
      </c>
      <c r="H265" s="53" t="s">
        <v>119</v>
      </c>
      <c r="I265" s="13"/>
      <c r="J265" s="135" t="s">
        <v>110</v>
      </c>
    </row>
    <row r="266" spans="1:10" x14ac:dyDescent="0.25">
      <c r="A266" s="53"/>
      <c r="B266" s="45"/>
      <c r="C266" s="131"/>
      <c r="D266" s="37"/>
      <c r="E266" s="37"/>
      <c r="F266" s="14"/>
      <c r="G266" s="140"/>
      <c r="H266" s="53"/>
      <c r="I266" s="13"/>
      <c r="J266" s="140"/>
    </row>
  </sheetData>
  <mergeCells count="42">
    <mergeCell ref="I136:I138"/>
    <mergeCell ref="A29:C29"/>
    <mergeCell ref="A247:C247"/>
    <mergeCell ref="A258:C258"/>
    <mergeCell ref="A119:C119"/>
    <mergeCell ref="A79:C79"/>
    <mergeCell ref="A222:C222"/>
    <mergeCell ref="A145:C145"/>
    <mergeCell ref="A153:C153"/>
    <mergeCell ref="A207:C207"/>
    <mergeCell ref="A209:C209"/>
    <mergeCell ref="A216:C216"/>
    <mergeCell ref="A168:C168"/>
    <mergeCell ref="A155:C155"/>
    <mergeCell ref="A161:C161"/>
    <mergeCell ref="A200:C200"/>
    <mergeCell ref="A236:C236"/>
    <mergeCell ref="A238:C238"/>
    <mergeCell ref="A177:C177"/>
    <mergeCell ref="A179:C179"/>
    <mergeCell ref="A186:C186"/>
    <mergeCell ref="A229:C229"/>
    <mergeCell ref="A193:C193"/>
    <mergeCell ref="A6:C6"/>
    <mergeCell ref="A8:C8"/>
    <mergeCell ref="A23:C23"/>
    <mergeCell ref="A39:C39"/>
    <mergeCell ref="A72:C72"/>
    <mergeCell ref="A47:C47"/>
    <mergeCell ref="A49:C49"/>
    <mergeCell ref="A56:C56"/>
    <mergeCell ref="A65:C65"/>
    <mergeCell ref="A17:C17"/>
    <mergeCell ref="A98:C98"/>
    <mergeCell ref="A63:C63"/>
    <mergeCell ref="A126:C126"/>
    <mergeCell ref="A133:C133"/>
    <mergeCell ref="A143:C143"/>
    <mergeCell ref="A107:C107"/>
    <mergeCell ref="A109:C109"/>
    <mergeCell ref="A89:C89"/>
    <mergeCell ref="A91:C91"/>
  </mergeCells>
  <dataValidations disablePrompts="1" count="1">
    <dataValidation type="list" allowBlank="1" showInputMessage="1" showErrorMessage="1" sqref="I65458 WVQ982962 WLU982962 WBY982962 VSC982962 VIG982962 UYK982962 UOO982962 UES982962 TUW982962 TLA982962 TBE982962 SRI982962 SHM982962 RXQ982962 RNU982962 RDY982962 QUC982962 QKG982962 QAK982962 PQO982962 PGS982962 OWW982962 ONA982962 ODE982962 NTI982962 NJM982962 MZQ982962 MPU982962 MFY982962 LWC982962 LMG982962 LCK982962 KSO982962 KIS982962 JYW982962 JPA982962 JFE982962 IVI982962 ILM982962 IBQ982962 HRU982962 HHY982962 GYC982962 GOG982962 GEK982962 FUO982962 FKS982962 FAW982962 ERA982962 EHE982962 DXI982962 DNM982962 DDQ982962 CTU982962 CJY982962 CAC982962 BQG982962 BGK982962 AWO982962 AMS982962 ACW982962 TA982962 JE982962 I982962 WVQ917426 WLU917426 WBY917426 VSC917426 VIG917426 UYK917426 UOO917426 UES917426 TUW917426 TLA917426 TBE917426 SRI917426 SHM917426 RXQ917426 RNU917426 RDY917426 QUC917426 QKG917426 QAK917426 PQO917426 PGS917426 OWW917426 ONA917426 ODE917426 NTI917426 NJM917426 MZQ917426 MPU917426 MFY917426 LWC917426 LMG917426 LCK917426 KSO917426 KIS917426 JYW917426 JPA917426 JFE917426 IVI917426 ILM917426 IBQ917426 HRU917426 HHY917426 GYC917426 GOG917426 GEK917426 FUO917426 FKS917426 FAW917426 ERA917426 EHE917426 DXI917426 DNM917426 DDQ917426 CTU917426 CJY917426 CAC917426 BQG917426 BGK917426 AWO917426 AMS917426 ACW917426 TA917426 JE917426 I917426 WVQ851890 WLU851890 WBY851890 VSC851890 VIG851890 UYK851890 UOO851890 UES851890 TUW851890 TLA851890 TBE851890 SRI851890 SHM851890 RXQ851890 RNU851890 RDY851890 QUC851890 QKG851890 QAK851890 PQO851890 PGS851890 OWW851890 ONA851890 ODE851890 NTI851890 NJM851890 MZQ851890 MPU851890 MFY851890 LWC851890 LMG851890 LCK851890 KSO851890 KIS851890 JYW851890 JPA851890 JFE851890 IVI851890 ILM851890 IBQ851890 HRU851890 HHY851890 GYC851890 GOG851890 GEK851890 FUO851890 FKS851890 FAW851890 ERA851890 EHE851890 DXI851890 DNM851890 DDQ851890 CTU851890 CJY851890 CAC851890 BQG851890 BGK851890 AWO851890 AMS851890 ACW851890 TA851890 JE851890 I851890 WVQ786354 WLU786354 WBY786354 VSC786354 VIG786354 UYK786354 UOO786354 UES786354 TUW786354 TLA786354 TBE786354 SRI786354 SHM786354 RXQ786354 RNU786354 RDY786354 QUC786354 QKG786354 QAK786354 PQO786354 PGS786354 OWW786354 ONA786354 ODE786354 NTI786354 NJM786354 MZQ786354 MPU786354 MFY786354 LWC786354 LMG786354 LCK786354 KSO786354 KIS786354 JYW786354 JPA786354 JFE786354 IVI786354 ILM786354 IBQ786354 HRU786354 HHY786354 GYC786354 GOG786354 GEK786354 FUO786354 FKS786354 FAW786354 ERA786354 EHE786354 DXI786354 DNM786354 DDQ786354 CTU786354 CJY786354 CAC786354 BQG786354 BGK786354 AWO786354 AMS786354 ACW786354 TA786354 JE786354 I786354 WVQ720818 WLU720818 WBY720818 VSC720818 VIG720818 UYK720818 UOO720818 UES720818 TUW720818 TLA720818 TBE720818 SRI720818 SHM720818 RXQ720818 RNU720818 RDY720818 QUC720818 QKG720818 QAK720818 PQO720818 PGS720818 OWW720818 ONA720818 ODE720818 NTI720818 NJM720818 MZQ720818 MPU720818 MFY720818 LWC720818 LMG720818 LCK720818 KSO720818 KIS720818 JYW720818 JPA720818 JFE720818 IVI720818 ILM720818 IBQ720818 HRU720818 HHY720818 GYC720818 GOG720818 GEK720818 FUO720818 FKS720818 FAW720818 ERA720818 EHE720818 DXI720818 DNM720818 DDQ720818 CTU720818 CJY720818 CAC720818 BQG720818 BGK720818 AWO720818 AMS720818 ACW720818 TA720818 JE720818 I720818 WVQ655282 WLU655282 WBY655282 VSC655282 VIG655282 UYK655282 UOO655282 UES655282 TUW655282 TLA655282 TBE655282 SRI655282 SHM655282 RXQ655282 RNU655282 RDY655282 QUC655282 QKG655282 QAK655282 PQO655282 PGS655282 OWW655282 ONA655282 ODE655282 NTI655282 NJM655282 MZQ655282 MPU655282 MFY655282 LWC655282 LMG655282 LCK655282 KSO655282 KIS655282 JYW655282 JPA655282 JFE655282 IVI655282 ILM655282 IBQ655282 HRU655282 HHY655282 GYC655282 GOG655282 GEK655282 FUO655282 FKS655282 FAW655282 ERA655282 EHE655282 DXI655282 DNM655282 DDQ655282 CTU655282 CJY655282 CAC655282 BQG655282 BGK655282 AWO655282 AMS655282 ACW655282 TA655282 JE655282 I655282 WVQ589746 WLU589746 WBY589746 VSC589746 VIG589746 UYK589746 UOO589746 UES589746 TUW589746 TLA589746 TBE589746 SRI589746 SHM589746 RXQ589746 RNU589746 RDY589746 QUC589746 QKG589746 QAK589746 PQO589746 PGS589746 OWW589746 ONA589746 ODE589746 NTI589746 NJM589746 MZQ589746 MPU589746 MFY589746 LWC589746 LMG589746 LCK589746 KSO589746 KIS589746 JYW589746 JPA589746 JFE589746 IVI589746 ILM589746 IBQ589746 HRU589746 HHY589746 GYC589746 GOG589746 GEK589746 FUO589746 FKS589746 FAW589746 ERA589746 EHE589746 DXI589746 DNM589746 DDQ589746 CTU589746 CJY589746 CAC589746 BQG589746 BGK589746 AWO589746 AMS589746 ACW589746 TA589746 JE589746 I589746 WVQ524210 WLU524210 WBY524210 VSC524210 VIG524210 UYK524210 UOO524210 UES524210 TUW524210 TLA524210 TBE524210 SRI524210 SHM524210 RXQ524210 RNU524210 RDY524210 QUC524210 QKG524210 QAK524210 PQO524210 PGS524210 OWW524210 ONA524210 ODE524210 NTI524210 NJM524210 MZQ524210 MPU524210 MFY524210 LWC524210 LMG524210 LCK524210 KSO524210 KIS524210 JYW524210 JPA524210 JFE524210 IVI524210 ILM524210 IBQ524210 HRU524210 HHY524210 GYC524210 GOG524210 GEK524210 FUO524210 FKS524210 FAW524210 ERA524210 EHE524210 DXI524210 DNM524210 DDQ524210 CTU524210 CJY524210 CAC524210 BQG524210 BGK524210 AWO524210 AMS524210 ACW524210 TA524210 JE524210 I524210 WVQ458674 WLU458674 WBY458674 VSC458674 VIG458674 UYK458674 UOO458674 UES458674 TUW458674 TLA458674 TBE458674 SRI458674 SHM458674 RXQ458674 RNU458674 RDY458674 QUC458674 QKG458674 QAK458674 PQO458674 PGS458674 OWW458674 ONA458674 ODE458674 NTI458674 NJM458674 MZQ458674 MPU458674 MFY458674 LWC458674 LMG458674 LCK458674 KSO458674 KIS458674 JYW458674 JPA458674 JFE458674 IVI458674 ILM458674 IBQ458674 HRU458674 HHY458674 GYC458674 GOG458674 GEK458674 FUO458674 FKS458674 FAW458674 ERA458674 EHE458674 DXI458674 DNM458674 DDQ458674 CTU458674 CJY458674 CAC458674 BQG458674 BGK458674 AWO458674 AMS458674 ACW458674 TA458674 JE458674 I458674 WVQ393138 WLU393138 WBY393138 VSC393138 VIG393138 UYK393138 UOO393138 UES393138 TUW393138 TLA393138 TBE393138 SRI393138 SHM393138 RXQ393138 RNU393138 RDY393138 QUC393138 QKG393138 QAK393138 PQO393138 PGS393138 OWW393138 ONA393138 ODE393138 NTI393138 NJM393138 MZQ393138 MPU393138 MFY393138 LWC393138 LMG393138 LCK393138 KSO393138 KIS393138 JYW393138 JPA393138 JFE393138 IVI393138 ILM393138 IBQ393138 HRU393138 HHY393138 GYC393138 GOG393138 GEK393138 FUO393138 FKS393138 FAW393138 ERA393138 EHE393138 DXI393138 DNM393138 DDQ393138 CTU393138 CJY393138 CAC393138 BQG393138 BGK393138 AWO393138 AMS393138 ACW393138 TA393138 JE393138 I393138 WVQ327602 WLU327602 WBY327602 VSC327602 VIG327602 UYK327602 UOO327602 UES327602 TUW327602 TLA327602 TBE327602 SRI327602 SHM327602 RXQ327602 RNU327602 RDY327602 QUC327602 QKG327602 QAK327602 PQO327602 PGS327602 OWW327602 ONA327602 ODE327602 NTI327602 NJM327602 MZQ327602 MPU327602 MFY327602 LWC327602 LMG327602 LCK327602 KSO327602 KIS327602 JYW327602 JPA327602 JFE327602 IVI327602 ILM327602 IBQ327602 HRU327602 HHY327602 GYC327602 GOG327602 GEK327602 FUO327602 FKS327602 FAW327602 ERA327602 EHE327602 DXI327602 DNM327602 DDQ327602 CTU327602 CJY327602 CAC327602 BQG327602 BGK327602 AWO327602 AMS327602 ACW327602 TA327602 JE327602 I327602 WVQ262066 WLU262066 WBY262066 VSC262066 VIG262066 UYK262066 UOO262066 UES262066 TUW262066 TLA262066 TBE262066 SRI262066 SHM262066 RXQ262066 RNU262066 RDY262066 QUC262066 QKG262066 QAK262066 PQO262066 PGS262066 OWW262066 ONA262066 ODE262066 NTI262066 NJM262066 MZQ262066 MPU262066 MFY262066 LWC262066 LMG262066 LCK262066 KSO262066 KIS262066 JYW262066 JPA262066 JFE262066 IVI262066 ILM262066 IBQ262066 HRU262066 HHY262066 GYC262066 GOG262066 GEK262066 FUO262066 FKS262066 FAW262066 ERA262066 EHE262066 DXI262066 DNM262066 DDQ262066 CTU262066 CJY262066 CAC262066 BQG262066 BGK262066 AWO262066 AMS262066 ACW262066 TA262066 JE262066 I262066 WVQ196530 WLU196530 WBY196530 VSC196530 VIG196530 UYK196530 UOO196530 UES196530 TUW196530 TLA196530 TBE196530 SRI196530 SHM196530 RXQ196530 RNU196530 RDY196530 QUC196530 QKG196530 QAK196530 PQO196530 PGS196530 OWW196530 ONA196530 ODE196530 NTI196530 NJM196530 MZQ196530 MPU196530 MFY196530 LWC196530 LMG196530 LCK196530 KSO196530 KIS196530 JYW196530 JPA196530 JFE196530 IVI196530 ILM196530 IBQ196530 HRU196530 HHY196530 GYC196530 GOG196530 GEK196530 FUO196530 FKS196530 FAW196530 ERA196530 EHE196530 DXI196530 DNM196530 DDQ196530 CTU196530 CJY196530 CAC196530 BQG196530 BGK196530 AWO196530 AMS196530 ACW196530 TA196530 JE196530 I196530 WVQ130994 WLU130994 WBY130994 VSC130994 VIG130994 UYK130994 UOO130994 UES130994 TUW130994 TLA130994 TBE130994 SRI130994 SHM130994 RXQ130994 RNU130994 RDY130994 QUC130994 QKG130994 QAK130994 PQO130994 PGS130994 OWW130994 ONA130994 ODE130994 NTI130994 NJM130994 MZQ130994 MPU130994 MFY130994 LWC130994 LMG130994 LCK130994 KSO130994 KIS130994 JYW130994 JPA130994 JFE130994 IVI130994 ILM130994 IBQ130994 HRU130994 HHY130994 GYC130994 GOG130994 GEK130994 FUO130994 FKS130994 FAW130994 ERA130994 EHE130994 DXI130994 DNM130994 DDQ130994 CTU130994 CJY130994 CAC130994 BQG130994 BGK130994 AWO130994 AMS130994 ACW130994 TA130994 JE130994 I130994 WVQ65458 WLU65458 WBY65458 VSC65458 VIG65458 UYK65458 UOO65458 UES65458 TUW65458 TLA65458 TBE65458 SRI65458 SHM65458 RXQ65458 RNU65458 RDY65458 QUC65458 QKG65458 QAK65458 PQO65458 PGS65458 OWW65458 ONA65458 ODE65458 NTI65458 NJM65458 MZQ65458 MPU65458 MFY65458 LWC65458 LMG65458 LCK65458 KSO65458 KIS65458 JYW65458 JPA65458 JFE65458 IVI65458 ILM65458 IBQ65458 HRU65458 HHY65458 GYC65458 GOG65458 GEK65458 FUO65458 FKS65458 FAW65458 ERA65458 EHE65458 DXI65458 DNM65458 DDQ65458 CTU65458 CJY65458 CAC65458 BQG65458 BGK65458 AWO65458 AMS65458 ACW65458 TA65458 JE65458" xr:uid="{F78A01C9-4E0D-4151-8569-659A4BEDFD00}">
      <formula1>#REF!</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B2BE6-90F8-4ECC-A9BA-FC87CE9F9499}">
  <dimension ref="A1:J174"/>
  <sheetViews>
    <sheetView zoomScale="70" zoomScaleNormal="70" workbookViewId="0">
      <selection activeCell="A22" sqref="A22:C22"/>
    </sheetView>
  </sheetViews>
  <sheetFormatPr defaultColWidth="9.109375" defaultRowHeight="15.6" x14ac:dyDescent="0.3"/>
  <cols>
    <col min="1" max="1" width="4.6640625" style="106" bestFit="1" customWidth="1"/>
    <col min="2" max="2" width="58.5546875" style="58" customWidth="1"/>
    <col min="3" max="3" width="40.5546875" style="58" bestFit="1" customWidth="1"/>
    <col min="4" max="4" width="4.5546875" style="58" bestFit="1" customWidth="1"/>
    <col min="5" max="5" width="5.88671875" style="106" bestFit="1" customWidth="1"/>
    <col min="6" max="6" width="9" style="61" bestFit="1" customWidth="1"/>
    <col min="7" max="7" width="9" style="58" customWidth="1"/>
    <col min="8" max="8" width="59.6640625" style="107" bestFit="1" customWidth="1"/>
    <col min="9" max="9" width="58" style="106" customWidth="1"/>
    <col min="10" max="10" width="46.88671875" style="57" customWidth="1"/>
    <col min="11" max="11" width="52" style="58" customWidth="1"/>
    <col min="12" max="256" width="9.109375" style="58"/>
    <col min="257" max="257" width="4.6640625" style="58" bestFit="1" customWidth="1"/>
    <col min="258" max="258" width="52.6640625" style="58" customWidth="1"/>
    <col min="259" max="259" width="40.5546875" style="58" bestFit="1" customWidth="1"/>
    <col min="260" max="260" width="4.5546875" style="58" bestFit="1" customWidth="1"/>
    <col min="261" max="261" width="5.88671875" style="58" bestFit="1" customWidth="1"/>
    <col min="262" max="262" width="9" style="58" bestFit="1" customWidth="1"/>
    <col min="263" max="263" width="9" style="58" customWidth="1"/>
    <col min="264" max="264" width="56" style="58" customWidth="1"/>
    <col min="265" max="265" width="58" style="58" customWidth="1"/>
    <col min="266" max="266" width="43.6640625" style="58" customWidth="1"/>
    <col min="267" max="267" width="52" style="58" customWidth="1"/>
    <col min="268" max="512" width="9.109375" style="58"/>
    <col min="513" max="513" width="4.6640625" style="58" bestFit="1" customWidth="1"/>
    <col min="514" max="514" width="52.6640625" style="58" customWidth="1"/>
    <col min="515" max="515" width="40.5546875" style="58" bestFit="1" customWidth="1"/>
    <col min="516" max="516" width="4.5546875" style="58" bestFit="1" customWidth="1"/>
    <col min="517" max="517" width="5.88671875" style="58" bestFit="1" customWidth="1"/>
    <col min="518" max="518" width="9" style="58" bestFit="1" customWidth="1"/>
    <col min="519" max="519" width="9" style="58" customWidth="1"/>
    <col min="520" max="520" width="56" style="58" customWidth="1"/>
    <col min="521" max="521" width="58" style="58" customWidth="1"/>
    <col min="522" max="522" width="43.6640625" style="58" customWidth="1"/>
    <col min="523" max="523" width="52" style="58" customWidth="1"/>
    <col min="524" max="768" width="9.109375" style="58"/>
    <col min="769" max="769" width="4.6640625" style="58" bestFit="1" customWidth="1"/>
    <col min="770" max="770" width="52.6640625" style="58" customWidth="1"/>
    <col min="771" max="771" width="40.5546875" style="58" bestFit="1" customWidth="1"/>
    <col min="772" max="772" width="4.5546875" style="58" bestFit="1" customWidth="1"/>
    <col min="773" max="773" width="5.88671875" style="58" bestFit="1" customWidth="1"/>
    <col min="774" max="774" width="9" style="58" bestFit="1" customWidth="1"/>
    <col min="775" max="775" width="9" style="58" customWidth="1"/>
    <col min="776" max="776" width="56" style="58" customWidth="1"/>
    <col min="777" max="777" width="58" style="58" customWidth="1"/>
    <col min="778" max="778" width="43.6640625" style="58" customWidth="1"/>
    <col min="779" max="779" width="52" style="58" customWidth="1"/>
    <col min="780" max="1024" width="9.109375" style="58"/>
    <col min="1025" max="1025" width="4.6640625" style="58" bestFit="1" customWidth="1"/>
    <col min="1026" max="1026" width="52.6640625" style="58" customWidth="1"/>
    <col min="1027" max="1027" width="40.5546875" style="58" bestFit="1" customWidth="1"/>
    <col min="1028" max="1028" width="4.5546875" style="58" bestFit="1" customWidth="1"/>
    <col min="1029" max="1029" width="5.88671875" style="58" bestFit="1" customWidth="1"/>
    <col min="1030" max="1030" width="9" style="58" bestFit="1" customWidth="1"/>
    <col min="1031" max="1031" width="9" style="58" customWidth="1"/>
    <col min="1032" max="1032" width="56" style="58" customWidth="1"/>
    <col min="1033" max="1033" width="58" style="58" customWidth="1"/>
    <col min="1034" max="1034" width="43.6640625" style="58" customWidth="1"/>
    <col min="1035" max="1035" width="52" style="58" customWidth="1"/>
    <col min="1036" max="1280" width="9.109375" style="58"/>
    <col min="1281" max="1281" width="4.6640625" style="58" bestFit="1" customWidth="1"/>
    <col min="1282" max="1282" width="52.6640625" style="58" customWidth="1"/>
    <col min="1283" max="1283" width="40.5546875" style="58" bestFit="1" customWidth="1"/>
    <col min="1284" max="1284" width="4.5546875" style="58" bestFit="1" customWidth="1"/>
    <col min="1285" max="1285" width="5.88671875" style="58" bestFit="1" customWidth="1"/>
    <col min="1286" max="1286" width="9" style="58" bestFit="1" customWidth="1"/>
    <col min="1287" max="1287" width="9" style="58" customWidth="1"/>
    <col min="1288" max="1288" width="56" style="58" customWidth="1"/>
    <col min="1289" max="1289" width="58" style="58" customWidth="1"/>
    <col min="1290" max="1290" width="43.6640625" style="58" customWidth="1"/>
    <col min="1291" max="1291" width="52" style="58" customWidth="1"/>
    <col min="1292" max="1536" width="9.109375" style="58"/>
    <col min="1537" max="1537" width="4.6640625" style="58" bestFit="1" customWidth="1"/>
    <col min="1538" max="1538" width="52.6640625" style="58" customWidth="1"/>
    <col min="1539" max="1539" width="40.5546875" style="58" bestFit="1" customWidth="1"/>
    <col min="1540" max="1540" width="4.5546875" style="58" bestFit="1" customWidth="1"/>
    <col min="1541" max="1541" width="5.88671875" style="58" bestFit="1" customWidth="1"/>
    <col min="1542" max="1542" width="9" style="58" bestFit="1" customWidth="1"/>
    <col min="1543" max="1543" width="9" style="58" customWidth="1"/>
    <col min="1544" max="1544" width="56" style="58" customWidth="1"/>
    <col min="1545" max="1545" width="58" style="58" customWidth="1"/>
    <col min="1546" max="1546" width="43.6640625" style="58" customWidth="1"/>
    <col min="1547" max="1547" width="52" style="58" customWidth="1"/>
    <col min="1548" max="1792" width="9.109375" style="58"/>
    <col min="1793" max="1793" width="4.6640625" style="58" bestFit="1" customWidth="1"/>
    <col min="1794" max="1794" width="52.6640625" style="58" customWidth="1"/>
    <col min="1795" max="1795" width="40.5546875" style="58" bestFit="1" customWidth="1"/>
    <col min="1796" max="1796" width="4.5546875" style="58" bestFit="1" customWidth="1"/>
    <col min="1797" max="1797" width="5.88671875" style="58" bestFit="1" customWidth="1"/>
    <col min="1798" max="1798" width="9" style="58" bestFit="1" customWidth="1"/>
    <col min="1799" max="1799" width="9" style="58" customWidth="1"/>
    <col min="1800" max="1800" width="56" style="58" customWidth="1"/>
    <col min="1801" max="1801" width="58" style="58" customWidth="1"/>
    <col min="1802" max="1802" width="43.6640625" style="58" customWidth="1"/>
    <col min="1803" max="1803" width="52" style="58" customWidth="1"/>
    <col min="1804" max="2048" width="9.109375" style="58"/>
    <col min="2049" max="2049" width="4.6640625" style="58" bestFit="1" customWidth="1"/>
    <col min="2050" max="2050" width="52.6640625" style="58" customWidth="1"/>
    <col min="2051" max="2051" width="40.5546875" style="58" bestFit="1" customWidth="1"/>
    <col min="2052" max="2052" width="4.5546875" style="58" bestFit="1" customWidth="1"/>
    <col min="2053" max="2053" width="5.88671875" style="58" bestFit="1" customWidth="1"/>
    <col min="2054" max="2054" width="9" style="58" bestFit="1" customWidth="1"/>
    <col min="2055" max="2055" width="9" style="58" customWidth="1"/>
    <col min="2056" max="2056" width="56" style="58" customWidth="1"/>
    <col min="2057" max="2057" width="58" style="58" customWidth="1"/>
    <col min="2058" max="2058" width="43.6640625" style="58" customWidth="1"/>
    <col min="2059" max="2059" width="52" style="58" customWidth="1"/>
    <col min="2060" max="2304" width="9.109375" style="58"/>
    <col min="2305" max="2305" width="4.6640625" style="58" bestFit="1" customWidth="1"/>
    <col min="2306" max="2306" width="52.6640625" style="58" customWidth="1"/>
    <col min="2307" max="2307" width="40.5546875" style="58" bestFit="1" customWidth="1"/>
    <col min="2308" max="2308" width="4.5546875" style="58" bestFit="1" customWidth="1"/>
    <col min="2309" max="2309" width="5.88671875" style="58" bestFit="1" customWidth="1"/>
    <col min="2310" max="2310" width="9" style="58" bestFit="1" customWidth="1"/>
    <col min="2311" max="2311" width="9" style="58" customWidth="1"/>
    <col min="2312" max="2312" width="56" style="58" customWidth="1"/>
    <col min="2313" max="2313" width="58" style="58" customWidth="1"/>
    <col min="2314" max="2314" width="43.6640625" style="58" customWidth="1"/>
    <col min="2315" max="2315" width="52" style="58" customWidth="1"/>
    <col min="2316" max="2560" width="9.109375" style="58"/>
    <col min="2561" max="2561" width="4.6640625" style="58" bestFit="1" customWidth="1"/>
    <col min="2562" max="2562" width="52.6640625" style="58" customWidth="1"/>
    <col min="2563" max="2563" width="40.5546875" style="58" bestFit="1" customWidth="1"/>
    <col min="2564" max="2564" width="4.5546875" style="58" bestFit="1" customWidth="1"/>
    <col min="2565" max="2565" width="5.88671875" style="58" bestFit="1" customWidth="1"/>
    <col min="2566" max="2566" width="9" style="58" bestFit="1" customWidth="1"/>
    <col min="2567" max="2567" width="9" style="58" customWidth="1"/>
    <col min="2568" max="2568" width="56" style="58" customWidth="1"/>
    <col min="2569" max="2569" width="58" style="58" customWidth="1"/>
    <col min="2570" max="2570" width="43.6640625" style="58" customWidth="1"/>
    <col min="2571" max="2571" width="52" style="58" customWidth="1"/>
    <col min="2572" max="2816" width="9.109375" style="58"/>
    <col min="2817" max="2817" width="4.6640625" style="58" bestFit="1" customWidth="1"/>
    <col min="2818" max="2818" width="52.6640625" style="58" customWidth="1"/>
    <col min="2819" max="2819" width="40.5546875" style="58" bestFit="1" customWidth="1"/>
    <col min="2820" max="2820" width="4.5546875" style="58" bestFit="1" customWidth="1"/>
    <col min="2821" max="2821" width="5.88671875" style="58" bestFit="1" customWidth="1"/>
    <col min="2822" max="2822" width="9" style="58" bestFit="1" customWidth="1"/>
    <col min="2823" max="2823" width="9" style="58" customWidth="1"/>
    <col min="2824" max="2824" width="56" style="58" customWidth="1"/>
    <col min="2825" max="2825" width="58" style="58" customWidth="1"/>
    <col min="2826" max="2826" width="43.6640625" style="58" customWidth="1"/>
    <col min="2827" max="2827" width="52" style="58" customWidth="1"/>
    <col min="2828" max="3072" width="9.109375" style="58"/>
    <col min="3073" max="3073" width="4.6640625" style="58" bestFit="1" customWidth="1"/>
    <col min="3074" max="3074" width="52.6640625" style="58" customWidth="1"/>
    <col min="3075" max="3075" width="40.5546875" style="58" bestFit="1" customWidth="1"/>
    <col min="3076" max="3076" width="4.5546875" style="58" bestFit="1" customWidth="1"/>
    <col min="3077" max="3077" width="5.88671875" style="58" bestFit="1" customWidth="1"/>
    <col min="3078" max="3078" width="9" style="58" bestFit="1" customWidth="1"/>
    <col min="3079" max="3079" width="9" style="58" customWidth="1"/>
    <col min="3080" max="3080" width="56" style="58" customWidth="1"/>
    <col min="3081" max="3081" width="58" style="58" customWidth="1"/>
    <col min="3082" max="3082" width="43.6640625" style="58" customWidth="1"/>
    <col min="3083" max="3083" width="52" style="58" customWidth="1"/>
    <col min="3084" max="3328" width="9.109375" style="58"/>
    <col min="3329" max="3329" width="4.6640625" style="58" bestFit="1" customWidth="1"/>
    <col min="3330" max="3330" width="52.6640625" style="58" customWidth="1"/>
    <col min="3331" max="3331" width="40.5546875" style="58" bestFit="1" customWidth="1"/>
    <col min="3332" max="3332" width="4.5546875" style="58" bestFit="1" customWidth="1"/>
    <col min="3333" max="3333" width="5.88671875" style="58" bestFit="1" customWidth="1"/>
    <col min="3334" max="3334" width="9" style="58" bestFit="1" customWidth="1"/>
    <col min="3335" max="3335" width="9" style="58" customWidth="1"/>
    <col min="3336" max="3336" width="56" style="58" customWidth="1"/>
    <col min="3337" max="3337" width="58" style="58" customWidth="1"/>
    <col min="3338" max="3338" width="43.6640625" style="58" customWidth="1"/>
    <col min="3339" max="3339" width="52" style="58" customWidth="1"/>
    <col min="3340" max="3584" width="9.109375" style="58"/>
    <col min="3585" max="3585" width="4.6640625" style="58" bestFit="1" customWidth="1"/>
    <col min="3586" max="3586" width="52.6640625" style="58" customWidth="1"/>
    <col min="3587" max="3587" width="40.5546875" style="58" bestFit="1" customWidth="1"/>
    <col min="3588" max="3588" width="4.5546875" style="58" bestFit="1" customWidth="1"/>
    <col min="3589" max="3589" width="5.88671875" style="58" bestFit="1" customWidth="1"/>
    <col min="3590" max="3590" width="9" style="58" bestFit="1" customWidth="1"/>
    <col min="3591" max="3591" width="9" style="58" customWidth="1"/>
    <col min="3592" max="3592" width="56" style="58" customWidth="1"/>
    <col min="3593" max="3593" width="58" style="58" customWidth="1"/>
    <col min="3594" max="3594" width="43.6640625" style="58" customWidth="1"/>
    <col min="3595" max="3595" width="52" style="58" customWidth="1"/>
    <col min="3596" max="3840" width="9.109375" style="58"/>
    <col min="3841" max="3841" width="4.6640625" style="58" bestFit="1" customWidth="1"/>
    <col min="3842" max="3842" width="52.6640625" style="58" customWidth="1"/>
    <col min="3843" max="3843" width="40.5546875" style="58" bestFit="1" customWidth="1"/>
    <col min="3844" max="3844" width="4.5546875" style="58" bestFit="1" customWidth="1"/>
    <col min="3845" max="3845" width="5.88671875" style="58" bestFit="1" customWidth="1"/>
    <col min="3846" max="3846" width="9" style="58" bestFit="1" customWidth="1"/>
    <col min="3847" max="3847" width="9" style="58" customWidth="1"/>
    <col min="3848" max="3848" width="56" style="58" customWidth="1"/>
    <col min="3849" max="3849" width="58" style="58" customWidth="1"/>
    <col min="3850" max="3850" width="43.6640625" style="58" customWidth="1"/>
    <col min="3851" max="3851" width="52" style="58" customWidth="1"/>
    <col min="3852" max="4096" width="9.109375" style="58"/>
    <col min="4097" max="4097" width="4.6640625" style="58" bestFit="1" customWidth="1"/>
    <col min="4098" max="4098" width="52.6640625" style="58" customWidth="1"/>
    <col min="4099" max="4099" width="40.5546875" style="58" bestFit="1" customWidth="1"/>
    <col min="4100" max="4100" width="4.5546875" style="58" bestFit="1" customWidth="1"/>
    <col min="4101" max="4101" width="5.88671875" style="58" bestFit="1" customWidth="1"/>
    <col min="4102" max="4102" width="9" style="58" bestFit="1" customWidth="1"/>
    <col min="4103" max="4103" width="9" style="58" customWidth="1"/>
    <col min="4104" max="4104" width="56" style="58" customWidth="1"/>
    <col min="4105" max="4105" width="58" style="58" customWidth="1"/>
    <col min="4106" max="4106" width="43.6640625" style="58" customWidth="1"/>
    <col min="4107" max="4107" width="52" style="58" customWidth="1"/>
    <col min="4108" max="4352" width="9.109375" style="58"/>
    <col min="4353" max="4353" width="4.6640625" style="58" bestFit="1" customWidth="1"/>
    <col min="4354" max="4354" width="52.6640625" style="58" customWidth="1"/>
    <col min="4355" max="4355" width="40.5546875" style="58" bestFit="1" customWidth="1"/>
    <col min="4356" max="4356" width="4.5546875" style="58" bestFit="1" customWidth="1"/>
    <col min="4357" max="4357" width="5.88671875" style="58" bestFit="1" customWidth="1"/>
    <col min="4358" max="4358" width="9" style="58" bestFit="1" customWidth="1"/>
    <col min="4359" max="4359" width="9" style="58" customWidth="1"/>
    <col min="4360" max="4360" width="56" style="58" customWidth="1"/>
    <col min="4361" max="4361" width="58" style="58" customWidth="1"/>
    <col min="4362" max="4362" width="43.6640625" style="58" customWidth="1"/>
    <col min="4363" max="4363" width="52" style="58" customWidth="1"/>
    <col min="4364" max="4608" width="9.109375" style="58"/>
    <col min="4609" max="4609" width="4.6640625" style="58" bestFit="1" customWidth="1"/>
    <col min="4610" max="4610" width="52.6640625" style="58" customWidth="1"/>
    <col min="4611" max="4611" width="40.5546875" style="58" bestFit="1" customWidth="1"/>
    <col min="4612" max="4612" width="4.5546875" style="58" bestFit="1" customWidth="1"/>
    <col min="4613" max="4613" width="5.88671875" style="58" bestFit="1" customWidth="1"/>
    <col min="4614" max="4614" width="9" style="58" bestFit="1" customWidth="1"/>
    <col min="4615" max="4615" width="9" style="58" customWidth="1"/>
    <col min="4616" max="4616" width="56" style="58" customWidth="1"/>
    <col min="4617" max="4617" width="58" style="58" customWidth="1"/>
    <col min="4618" max="4618" width="43.6640625" style="58" customWidth="1"/>
    <col min="4619" max="4619" width="52" style="58" customWidth="1"/>
    <col min="4620" max="4864" width="9.109375" style="58"/>
    <col min="4865" max="4865" width="4.6640625" style="58" bestFit="1" customWidth="1"/>
    <col min="4866" max="4866" width="52.6640625" style="58" customWidth="1"/>
    <col min="4867" max="4867" width="40.5546875" style="58" bestFit="1" customWidth="1"/>
    <col min="4868" max="4868" width="4.5546875" style="58" bestFit="1" customWidth="1"/>
    <col min="4869" max="4869" width="5.88671875" style="58" bestFit="1" customWidth="1"/>
    <col min="4870" max="4870" width="9" style="58" bestFit="1" customWidth="1"/>
    <col min="4871" max="4871" width="9" style="58" customWidth="1"/>
    <col min="4872" max="4872" width="56" style="58" customWidth="1"/>
    <col min="4873" max="4873" width="58" style="58" customWidth="1"/>
    <col min="4874" max="4874" width="43.6640625" style="58" customWidth="1"/>
    <col min="4875" max="4875" width="52" style="58" customWidth="1"/>
    <col min="4876" max="5120" width="9.109375" style="58"/>
    <col min="5121" max="5121" width="4.6640625" style="58" bestFit="1" customWidth="1"/>
    <col min="5122" max="5122" width="52.6640625" style="58" customWidth="1"/>
    <col min="5123" max="5123" width="40.5546875" style="58" bestFit="1" customWidth="1"/>
    <col min="5124" max="5124" width="4.5546875" style="58" bestFit="1" customWidth="1"/>
    <col min="5125" max="5125" width="5.88671875" style="58" bestFit="1" customWidth="1"/>
    <col min="5126" max="5126" width="9" style="58" bestFit="1" customWidth="1"/>
    <col min="5127" max="5127" width="9" style="58" customWidth="1"/>
    <col min="5128" max="5128" width="56" style="58" customWidth="1"/>
    <col min="5129" max="5129" width="58" style="58" customWidth="1"/>
    <col min="5130" max="5130" width="43.6640625" style="58" customWidth="1"/>
    <col min="5131" max="5131" width="52" style="58" customWidth="1"/>
    <col min="5132" max="5376" width="9.109375" style="58"/>
    <col min="5377" max="5377" width="4.6640625" style="58" bestFit="1" customWidth="1"/>
    <col min="5378" max="5378" width="52.6640625" style="58" customWidth="1"/>
    <col min="5379" max="5379" width="40.5546875" style="58" bestFit="1" customWidth="1"/>
    <col min="5380" max="5380" width="4.5546875" style="58" bestFit="1" customWidth="1"/>
    <col min="5381" max="5381" width="5.88671875" style="58" bestFit="1" customWidth="1"/>
    <col min="5382" max="5382" width="9" style="58" bestFit="1" customWidth="1"/>
    <col min="5383" max="5383" width="9" style="58" customWidth="1"/>
    <col min="5384" max="5384" width="56" style="58" customWidth="1"/>
    <col min="5385" max="5385" width="58" style="58" customWidth="1"/>
    <col min="5386" max="5386" width="43.6640625" style="58" customWidth="1"/>
    <col min="5387" max="5387" width="52" style="58" customWidth="1"/>
    <col min="5388" max="5632" width="9.109375" style="58"/>
    <col min="5633" max="5633" width="4.6640625" style="58" bestFit="1" customWidth="1"/>
    <col min="5634" max="5634" width="52.6640625" style="58" customWidth="1"/>
    <col min="5635" max="5635" width="40.5546875" style="58" bestFit="1" customWidth="1"/>
    <col min="5636" max="5636" width="4.5546875" style="58" bestFit="1" customWidth="1"/>
    <col min="5637" max="5637" width="5.88671875" style="58" bestFit="1" customWidth="1"/>
    <col min="5638" max="5638" width="9" style="58" bestFit="1" customWidth="1"/>
    <col min="5639" max="5639" width="9" style="58" customWidth="1"/>
    <col min="5640" max="5640" width="56" style="58" customWidth="1"/>
    <col min="5641" max="5641" width="58" style="58" customWidth="1"/>
    <col min="5642" max="5642" width="43.6640625" style="58" customWidth="1"/>
    <col min="5643" max="5643" width="52" style="58" customWidth="1"/>
    <col min="5644" max="5888" width="9.109375" style="58"/>
    <col min="5889" max="5889" width="4.6640625" style="58" bestFit="1" customWidth="1"/>
    <col min="5890" max="5890" width="52.6640625" style="58" customWidth="1"/>
    <col min="5891" max="5891" width="40.5546875" style="58" bestFit="1" customWidth="1"/>
    <col min="5892" max="5892" width="4.5546875" style="58" bestFit="1" customWidth="1"/>
    <col min="5893" max="5893" width="5.88671875" style="58" bestFit="1" customWidth="1"/>
    <col min="5894" max="5894" width="9" style="58" bestFit="1" customWidth="1"/>
    <col min="5895" max="5895" width="9" style="58" customWidth="1"/>
    <col min="5896" max="5896" width="56" style="58" customWidth="1"/>
    <col min="5897" max="5897" width="58" style="58" customWidth="1"/>
    <col min="5898" max="5898" width="43.6640625" style="58" customWidth="1"/>
    <col min="5899" max="5899" width="52" style="58" customWidth="1"/>
    <col min="5900" max="6144" width="9.109375" style="58"/>
    <col min="6145" max="6145" width="4.6640625" style="58" bestFit="1" customWidth="1"/>
    <col min="6146" max="6146" width="52.6640625" style="58" customWidth="1"/>
    <col min="6147" max="6147" width="40.5546875" style="58" bestFit="1" customWidth="1"/>
    <col min="6148" max="6148" width="4.5546875" style="58" bestFit="1" customWidth="1"/>
    <col min="6149" max="6149" width="5.88671875" style="58" bestFit="1" customWidth="1"/>
    <col min="6150" max="6150" width="9" style="58" bestFit="1" customWidth="1"/>
    <col min="6151" max="6151" width="9" style="58" customWidth="1"/>
    <col min="6152" max="6152" width="56" style="58" customWidth="1"/>
    <col min="6153" max="6153" width="58" style="58" customWidth="1"/>
    <col min="6154" max="6154" width="43.6640625" style="58" customWidth="1"/>
    <col min="6155" max="6155" width="52" style="58" customWidth="1"/>
    <col min="6156" max="6400" width="9.109375" style="58"/>
    <col min="6401" max="6401" width="4.6640625" style="58" bestFit="1" customWidth="1"/>
    <col min="6402" max="6402" width="52.6640625" style="58" customWidth="1"/>
    <col min="6403" max="6403" width="40.5546875" style="58" bestFit="1" customWidth="1"/>
    <col min="6404" max="6404" width="4.5546875" style="58" bestFit="1" customWidth="1"/>
    <col min="6405" max="6405" width="5.88671875" style="58" bestFit="1" customWidth="1"/>
    <col min="6406" max="6406" width="9" style="58" bestFit="1" customWidth="1"/>
    <col min="6407" max="6407" width="9" style="58" customWidth="1"/>
    <col min="6408" max="6408" width="56" style="58" customWidth="1"/>
    <col min="6409" max="6409" width="58" style="58" customWidth="1"/>
    <col min="6410" max="6410" width="43.6640625" style="58" customWidth="1"/>
    <col min="6411" max="6411" width="52" style="58" customWidth="1"/>
    <col min="6412" max="6656" width="9.109375" style="58"/>
    <col min="6657" max="6657" width="4.6640625" style="58" bestFit="1" customWidth="1"/>
    <col min="6658" max="6658" width="52.6640625" style="58" customWidth="1"/>
    <col min="6659" max="6659" width="40.5546875" style="58" bestFit="1" customWidth="1"/>
    <col min="6660" max="6660" width="4.5546875" style="58" bestFit="1" customWidth="1"/>
    <col min="6661" max="6661" width="5.88671875" style="58" bestFit="1" customWidth="1"/>
    <col min="6662" max="6662" width="9" style="58" bestFit="1" customWidth="1"/>
    <col min="6663" max="6663" width="9" style="58" customWidth="1"/>
    <col min="6664" max="6664" width="56" style="58" customWidth="1"/>
    <col min="6665" max="6665" width="58" style="58" customWidth="1"/>
    <col min="6666" max="6666" width="43.6640625" style="58" customWidth="1"/>
    <col min="6667" max="6667" width="52" style="58" customWidth="1"/>
    <col min="6668" max="6912" width="9.109375" style="58"/>
    <col min="6913" max="6913" width="4.6640625" style="58" bestFit="1" customWidth="1"/>
    <col min="6914" max="6914" width="52.6640625" style="58" customWidth="1"/>
    <col min="6915" max="6915" width="40.5546875" style="58" bestFit="1" customWidth="1"/>
    <col min="6916" max="6916" width="4.5546875" style="58" bestFit="1" customWidth="1"/>
    <col min="6917" max="6917" width="5.88671875" style="58" bestFit="1" customWidth="1"/>
    <col min="6918" max="6918" width="9" style="58" bestFit="1" customWidth="1"/>
    <col min="6919" max="6919" width="9" style="58" customWidth="1"/>
    <col min="6920" max="6920" width="56" style="58" customWidth="1"/>
    <col min="6921" max="6921" width="58" style="58" customWidth="1"/>
    <col min="6922" max="6922" width="43.6640625" style="58" customWidth="1"/>
    <col min="6923" max="6923" width="52" style="58" customWidth="1"/>
    <col min="6924" max="7168" width="9.109375" style="58"/>
    <col min="7169" max="7169" width="4.6640625" style="58" bestFit="1" customWidth="1"/>
    <col min="7170" max="7170" width="52.6640625" style="58" customWidth="1"/>
    <col min="7171" max="7171" width="40.5546875" style="58" bestFit="1" customWidth="1"/>
    <col min="7172" max="7172" width="4.5546875" style="58" bestFit="1" customWidth="1"/>
    <col min="7173" max="7173" width="5.88671875" style="58" bestFit="1" customWidth="1"/>
    <col min="7174" max="7174" width="9" style="58" bestFit="1" customWidth="1"/>
    <col min="7175" max="7175" width="9" style="58" customWidth="1"/>
    <col min="7176" max="7176" width="56" style="58" customWidth="1"/>
    <col min="7177" max="7177" width="58" style="58" customWidth="1"/>
    <col min="7178" max="7178" width="43.6640625" style="58" customWidth="1"/>
    <col min="7179" max="7179" width="52" style="58" customWidth="1"/>
    <col min="7180" max="7424" width="9.109375" style="58"/>
    <col min="7425" max="7425" width="4.6640625" style="58" bestFit="1" customWidth="1"/>
    <col min="7426" max="7426" width="52.6640625" style="58" customWidth="1"/>
    <col min="7427" max="7427" width="40.5546875" style="58" bestFit="1" customWidth="1"/>
    <col min="7428" max="7428" width="4.5546875" style="58" bestFit="1" customWidth="1"/>
    <col min="7429" max="7429" width="5.88671875" style="58" bestFit="1" customWidth="1"/>
    <col min="7430" max="7430" width="9" style="58" bestFit="1" customWidth="1"/>
    <col min="7431" max="7431" width="9" style="58" customWidth="1"/>
    <col min="7432" max="7432" width="56" style="58" customWidth="1"/>
    <col min="7433" max="7433" width="58" style="58" customWidth="1"/>
    <col min="7434" max="7434" width="43.6640625" style="58" customWidth="1"/>
    <col min="7435" max="7435" width="52" style="58" customWidth="1"/>
    <col min="7436" max="7680" width="9.109375" style="58"/>
    <col min="7681" max="7681" width="4.6640625" style="58" bestFit="1" customWidth="1"/>
    <col min="7682" max="7682" width="52.6640625" style="58" customWidth="1"/>
    <col min="7683" max="7683" width="40.5546875" style="58" bestFit="1" customWidth="1"/>
    <col min="7684" max="7684" width="4.5546875" style="58" bestFit="1" customWidth="1"/>
    <col min="7685" max="7685" width="5.88671875" style="58" bestFit="1" customWidth="1"/>
    <col min="7686" max="7686" width="9" style="58" bestFit="1" customWidth="1"/>
    <col min="7687" max="7687" width="9" style="58" customWidth="1"/>
    <col min="7688" max="7688" width="56" style="58" customWidth="1"/>
    <col min="7689" max="7689" width="58" style="58" customWidth="1"/>
    <col min="7690" max="7690" width="43.6640625" style="58" customWidth="1"/>
    <col min="7691" max="7691" width="52" style="58" customWidth="1"/>
    <col min="7692" max="7936" width="9.109375" style="58"/>
    <col min="7937" max="7937" width="4.6640625" style="58" bestFit="1" customWidth="1"/>
    <col min="7938" max="7938" width="52.6640625" style="58" customWidth="1"/>
    <col min="7939" max="7939" width="40.5546875" style="58" bestFit="1" customWidth="1"/>
    <col min="7940" max="7940" width="4.5546875" style="58" bestFit="1" customWidth="1"/>
    <col min="7941" max="7941" width="5.88671875" style="58" bestFit="1" customWidth="1"/>
    <col min="7942" max="7942" width="9" style="58" bestFit="1" customWidth="1"/>
    <col min="7943" max="7943" width="9" style="58" customWidth="1"/>
    <col min="7944" max="7944" width="56" style="58" customWidth="1"/>
    <col min="7945" max="7945" width="58" style="58" customWidth="1"/>
    <col min="7946" max="7946" width="43.6640625" style="58" customWidth="1"/>
    <col min="7947" max="7947" width="52" style="58" customWidth="1"/>
    <col min="7948" max="8192" width="9.109375" style="58"/>
    <col min="8193" max="8193" width="4.6640625" style="58" bestFit="1" customWidth="1"/>
    <col min="8194" max="8194" width="52.6640625" style="58" customWidth="1"/>
    <col min="8195" max="8195" width="40.5546875" style="58" bestFit="1" customWidth="1"/>
    <col min="8196" max="8196" width="4.5546875" style="58" bestFit="1" customWidth="1"/>
    <col min="8197" max="8197" width="5.88671875" style="58" bestFit="1" customWidth="1"/>
    <col min="8198" max="8198" width="9" style="58" bestFit="1" customWidth="1"/>
    <col min="8199" max="8199" width="9" style="58" customWidth="1"/>
    <col min="8200" max="8200" width="56" style="58" customWidth="1"/>
    <col min="8201" max="8201" width="58" style="58" customWidth="1"/>
    <col min="8202" max="8202" width="43.6640625" style="58" customWidth="1"/>
    <col min="8203" max="8203" width="52" style="58" customWidth="1"/>
    <col min="8204" max="8448" width="9.109375" style="58"/>
    <col min="8449" max="8449" width="4.6640625" style="58" bestFit="1" customWidth="1"/>
    <col min="8450" max="8450" width="52.6640625" style="58" customWidth="1"/>
    <col min="8451" max="8451" width="40.5546875" style="58" bestFit="1" customWidth="1"/>
    <col min="8452" max="8452" width="4.5546875" style="58" bestFit="1" customWidth="1"/>
    <col min="8453" max="8453" width="5.88671875" style="58" bestFit="1" customWidth="1"/>
    <col min="8454" max="8454" width="9" style="58" bestFit="1" customWidth="1"/>
    <col min="8455" max="8455" width="9" style="58" customWidth="1"/>
    <col min="8456" max="8456" width="56" style="58" customWidth="1"/>
    <col min="8457" max="8457" width="58" style="58" customWidth="1"/>
    <col min="8458" max="8458" width="43.6640625" style="58" customWidth="1"/>
    <col min="8459" max="8459" width="52" style="58" customWidth="1"/>
    <col min="8460" max="8704" width="9.109375" style="58"/>
    <col min="8705" max="8705" width="4.6640625" style="58" bestFit="1" customWidth="1"/>
    <col min="8706" max="8706" width="52.6640625" style="58" customWidth="1"/>
    <col min="8707" max="8707" width="40.5546875" style="58" bestFit="1" customWidth="1"/>
    <col min="8708" max="8708" width="4.5546875" style="58" bestFit="1" customWidth="1"/>
    <col min="8709" max="8709" width="5.88671875" style="58" bestFit="1" customWidth="1"/>
    <col min="8710" max="8710" width="9" style="58" bestFit="1" customWidth="1"/>
    <col min="8711" max="8711" width="9" style="58" customWidth="1"/>
    <col min="8712" max="8712" width="56" style="58" customWidth="1"/>
    <col min="8713" max="8713" width="58" style="58" customWidth="1"/>
    <col min="8714" max="8714" width="43.6640625" style="58" customWidth="1"/>
    <col min="8715" max="8715" width="52" style="58" customWidth="1"/>
    <col min="8716" max="8960" width="9.109375" style="58"/>
    <col min="8961" max="8961" width="4.6640625" style="58" bestFit="1" customWidth="1"/>
    <col min="8962" max="8962" width="52.6640625" style="58" customWidth="1"/>
    <col min="8963" max="8963" width="40.5546875" style="58" bestFit="1" customWidth="1"/>
    <col min="8964" max="8964" width="4.5546875" style="58" bestFit="1" customWidth="1"/>
    <col min="8965" max="8965" width="5.88671875" style="58" bestFit="1" customWidth="1"/>
    <col min="8966" max="8966" width="9" style="58" bestFit="1" customWidth="1"/>
    <col min="8967" max="8967" width="9" style="58" customWidth="1"/>
    <col min="8968" max="8968" width="56" style="58" customWidth="1"/>
    <col min="8969" max="8969" width="58" style="58" customWidth="1"/>
    <col min="8970" max="8970" width="43.6640625" style="58" customWidth="1"/>
    <col min="8971" max="8971" width="52" style="58" customWidth="1"/>
    <col min="8972" max="9216" width="9.109375" style="58"/>
    <col min="9217" max="9217" width="4.6640625" style="58" bestFit="1" customWidth="1"/>
    <col min="9218" max="9218" width="52.6640625" style="58" customWidth="1"/>
    <col min="9219" max="9219" width="40.5546875" style="58" bestFit="1" customWidth="1"/>
    <col min="9220" max="9220" width="4.5546875" style="58" bestFit="1" customWidth="1"/>
    <col min="9221" max="9221" width="5.88671875" style="58" bestFit="1" customWidth="1"/>
    <col min="9222" max="9222" width="9" style="58" bestFit="1" customWidth="1"/>
    <col min="9223" max="9223" width="9" style="58" customWidth="1"/>
    <col min="9224" max="9224" width="56" style="58" customWidth="1"/>
    <col min="9225" max="9225" width="58" style="58" customWidth="1"/>
    <col min="9226" max="9226" width="43.6640625" style="58" customWidth="1"/>
    <col min="9227" max="9227" width="52" style="58" customWidth="1"/>
    <col min="9228" max="9472" width="9.109375" style="58"/>
    <col min="9473" max="9473" width="4.6640625" style="58" bestFit="1" customWidth="1"/>
    <col min="9474" max="9474" width="52.6640625" style="58" customWidth="1"/>
    <col min="9475" max="9475" width="40.5546875" style="58" bestFit="1" customWidth="1"/>
    <col min="9476" max="9476" width="4.5546875" style="58" bestFit="1" customWidth="1"/>
    <col min="9477" max="9477" width="5.88671875" style="58" bestFit="1" customWidth="1"/>
    <col min="9478" max="9478" width="9" style="58" bestFit="1" customWidth="1"/>
    <col min="9479" max="9479" width="9" style="58" customWidth="1"/>
    <col min="9480" max="9480" width="56" style="58" customWidth="1"/>
    <col min="9481" max="9481" width="58" style="58" customWidth="1"/>
    <col min="9482" max="9482" width="43.6640625" style="58" customWidth="1"/>
    <col min="9483" max="9483" width="52" style="58" customWidth="1"/>
    <col min="9484" max="9728" width="9.109375" style="58"/>
    <col min="9729" max="9729" width="4.6640625" style="58" bestFit="1" customWidth="1"/>
    <col min="9730" max="9730" width="52.6640625" style="58" customWidth="1"/>
    <col min="9731" max="9731" width="40.5546875" style="58" bestFit="1" customWidth="1"/>
    <col min="9732" max="9732" width="4.5546875" style="58" bestFit="1" customWidth="1"/>
    <col min="9733" max="9733" width="5.88671875" style="58" bestFit="1" customWidth="1"/>
    <col min="9734" max="9734" width="9" style="58" bestFit="1" customWidth="1"/>
    <col min="9735" max="9735" width="9" style="58" customWidth="1"/>
    <col min="9736" max="9736" width="56" style="58" customWidth="1"/>
    <col min="9737" max="9737" width="58" style="58" customWidth="1"/>
    <col min="9738" max="9738" width="43.6640625" style="58" customWidth="1"/>
    <col min="9739" max="9739" width="52" style="58" customWidth="1"/>
    <col min="9740" max="9984" width="9.109375" style="58"/>
    <col min="9985" max="9985" width="4.6640625" style="58" bestFit="1" customWidth="1"/>
    <col min="9986" max="9986" width="52.6640625" style="58" customWidth="1"/>
    <col min="9987" max="9987" width="40.5546875" style="58" bestFit="1" customWidth="1"/>
    <col min="9988" max="9988" width="4.5546875" style="58" bestFit="1" customWidth="1"/>
    <col min="9989" max="9989" width="5.88671875" style="58" bestFit="1" customWidth="1"/>
    <col min="9990" max="9990" width="9" style="58" bestFit="1" customWidth="1"/>
    <col min="9991" max="9991" width="9" style="58" customWidth="1"/>
    <col min="9992" max="9992" width="56" style="58" customWidth="1"/>
    <col min="9993" max="9993" width="58" style="58" customWidth="1"/>
    <col min="9994" max="9994" width="43.6640625" style="58" customWidth="1"/>
    <col min="9995" max="9995" width="52" style="58" customWidth="1"/>
    <col min="9996" max="10240" width="9.109375" style="58"/>
    <col min="10241" max="10241" width="4.6640625" style="58" bestFit="1" customWidth="1"/>
    <col min="10242" max="10242" width="52.6640625" style="58" customWidth="1"/>
    <col min="10243" max="10243" width="40.5546875" style="58" bestFit="1" customWidth="1"/>
    <col min="10244" max="10244" width="4.5546875" style="58" bestFit="1" customWidth="1"/>
    <col min="10245" max="10245" width="5.88671875" style="58" bestFit="1" customWidth="1"/>
    <col min="10246" max="10246" width="9" style="58" bestFit="1" customWidth="1"/>
    <col min="10247" max="10247" width="9" style="58" customWidth="1"/>
    <col min="10248" max="10248" width="56" style="58" customWidth="1"/>
    <col min="10249" max="10249" width="58" style="58" customWidth="1"/>
    <col min="10250" max="10250" width="43.6640625" style="58" customWidth="1"/>
    <col min="10251" max="10251" width="52" style="58" customWidth="1"/>
    <col min="10252" max="10496" width="9.109375" style="58"/>
    <col min="10497" max="10497" width="4.6640625" style="58" bestFit="1" customWidth="1"/>
    <col min="10498" max="10498" width="52.6640625" style="58" customWidth="1"/>
    <col min="10499" max="10499" width="40.5546875" style="58" bestFit="1" customWidth="1"/>
    <col min="10500" max="10500" width="4.5546875" style="58" bestFit="1" customWidth="1"/>
    <col min="10501" max="10501" width="5.88671875" style="58" bestFit="1" customWidth="1"/>
    <col min="10502" max="10502" width="9" style="58" bestFit="1" customWidth="1"/>
    <col min="10503" max="10503" width="9" style="58" customWidth="1"/>
    <col min="10504" max="10504" width="56" style="58" customWidth="1"/>
    <col min="10505" max="10505" width="58" style="58" customWidth="1"/>
    <col min="10506" max="10506" width="43.6640625" style="58" customWidth="1"/>
    <col min="10507" max="10507" width="52" style="58" customWidth="1"/>
    <col min="10508" max="10752" width="9.109375" style="58"/>
    <col min="10753" max="10753" width="4.6640625" style="58" bestFit="1" customWidth="1"/>
    <col min="10754" max="10754" width="52.6640625" style="58" customWidth="1"/>
    <col min="10755" max="10755" width="40.5546875" style="58" bestFit="1" customWidth="1"/>
    <col min="10756" max="10756" width="4.5546875" style="58" bestFit="1" customWidth="1"/>
    <col min="10757" max="10757" width="5.88671875" style="58" bestFit="1" customWidth="1"/>
    <col min="10758" max="10758" width="9" style="58" bestFit="1" customWidth="1"/>
    <col min="10759" max="10759" width="9" style="58" customWidth="1"/>
    <col min="10760" max="10760" width="56" style="58" customWidth="1"/>
    <col min="10761" max="10761" width="58" style="58" customWidth="1"/>
    <col min="10762" max="10762" width="43.6640625" style="58" customWidth="1"/>
    <col min="10763" max="10763" width="52" style="58" customWidth="1"/>
    <col min="10764" max="11008" width="9.109375" style="58"/>
    <col min="11009" max="11009" width="4.6640625" style="58" bestFit="1" customWidth="1"/>
    <col min="11010" max="11010" width="52.6640625" style="58" customWidth="1"/>
    <col min="11011" max="11011" width="40.5546875" style="58" bestFit="1" customWidth="1"/>
    <col min="11012" max="11012" width="4.5546875" style="58" bestFit="1" customWidth="1"/>
    <col min="11013" max="11013" width="5.88671875" style="58" bestFit="1" customWidth="1"/>
    <col min="11014" max="11014" width="9" style="58" bestFit="1" customWidth="1"/>
    <col min="11015" max="11015" width="9" style="58" customWidth="1"/>
    <col min="11016" max="11016" width="56" style="58" customWidth="1"/>
    <col min="11017" max="11017" width="58" style="58" customWidth="1"/>
    <col min="11018" max="11018" width="43.6640625" style="58" customWidth="1"/>
    <col min="11019" max="11019" width="52" style="58" customWidth="1"/>
    <col min="11020" max="11264" width="9.109375" style="58"/>
    <col min="11265" max="11265" width="4.6640625" style="58" bestFit="1" customWidth="1"/>
    <col min="11266" max="11266" width="52.6640625" style="58" customWidth="1"/>
    <col min="11267" max="11267" width="40.5546875" style="58" bestFit="1" customWidth="1"/>
    <col min="11268" max="11268" width="4.5546875" style="58" bestFit="1" customWidth="1"/>
    <col min="11269" max="11269" width="5.88671875" style="58" bestFit="1" customWidth="1"/>
    <col min="11270" max="11270" width="9" style="58" bestFit="1" customWidth="1"/>
    <col min="11271" max="11271" width="9" style="58" customWidth="1"/>
    <col min="11272" max="11272" width="56" style="58" customWidth="1"/>
    <col min="11273" max="11273" width="58" style="58" customWidth="1"/>
    <col min="11274" max="11274" width="43.6640625" style="58" customWidth="1"/>
    <col min="11275" max="11275" width="52" style="58" customWidth="1"/>
    <col min="11276" max="11520" width="9.109375" style="58"/>
    <col min="11521" max="11521" width="4.6640625" style="58" bestFit="1" customWidth="1"/>
    <col min="11522" max="11522" width="52.6640625" style="58" customWidth="1"/>
    <col min="11523" max="11523" width="40.5546875" style="58" bestFit="1" customWidth="1"/>
    <col min="11524" max="11524" width="4.5546875" style="58" bestFit="1" customWidth="1"/>
    <col min="11525" max="11525" width="5.88671875" style="58" bestFit="1" customWidth="1"/>
    <col min="11526" max="11526" width="9" style="58" bestFit="1" customWidth="1"/>
    <col min="11527" max="11527" width="9" style="58" customWidth="1"/>
    <col min="11528" max="11528" width="56" style="58" customWidth="1"/>
    <col min="11529" max="11529" width="58" style="58" customWidth="1"/>
    <col min="11530" max="11530" width="43.6640625" style="58" customWidth="1"/>
    <col min="11531" max="11531" width="52" style="58" customWidth="1"/>
    <col min="11532" max="11776" width="9.109375" style="58"/>
    <col min="11777" max="11777" width="4.6640625" style="58" bestFit="1" customWidth="1"/>
    <col min="11778" max="11778" width="52.6640625" style="58" customWidth="1"/>
    <col min="11779" max="11779" width="40.5546875" style="58" bestFit="1" customWidth="1"/>
    <col min="11780" max="11780" width="4.5546875" style="58" bestFit="1" customWidth="1"/>
    <col min="11781" max="11781" width="5.88671875" style="58" bestFit="1" customWidth="1"/>
    <col min="11782" max="11782" width="9" style="58" bestFit="1" customWidth="1"/>
    <col min="11783" max="11783" width="9" style="58" customWidth="1"/>
    <col min="11784" max="11784" width="56" style="58" customWidth="1"/>
    <col min="11785" max="11785" width="58" style="58" customWidth="1"/>
    <col min="11786" max="11786" width="43.6640625" style="58" customWidth="1"/>
    <col min="11787" max="11787" width="52" style="58" customWidth="1"/>
    <col min="11788" max="12032" width="9.109375" style="58"/>
    <col min="12033" max="12033" width="4.6640625" style="58" bestFit="1" customWidth="1"/>
    <col min="12034" max="12034" width="52.6640625" style="58" customWidth="1"/>
    <col min="12035" max="12035" width="40.5546875" style="58" bestFit="1" customWidth="1"/>
    <col min="12036" max="12036" width="4.5546875" style="58" bestFit="1" customWidth="1"/>
    <col min="12037" max="12037" width="5.88671875" style="58" bestFit="1" customWidth="1"/>
    <col min="12038" max="12038" width="9" style="58" bestFit="1" customWidth="1"/>
    <col min="12039" max="12039" width="9" style="58" customWidth="1"/>
    <col min="12040" max="12040" width="56" style="58" customWidth="1"/>
    <col min="12041" max="12041" width="58" style="58" customWidth="1"/>
    <col min="12042" max="12042" width="43.6640625" style="58" customWidth="1"/>
    <col min="12043" max="12043" width="52" style="58" customWidth="1"/>
    <col min="12044" max="12288" width="9.109375" style="58"/>
    <col min="12289" max="12289" width="4.6640625" style="58" bestFit="1" customWidth="1"/>
    <col min="12290" max="12290" width="52.6640625" style="58" customWidth="1"/>
    <col min="12291" max="12291" width="40.5546875" style="58" bestFit="1" customWidth="1"/>
    <col min="12292" max="12292" width="4.5546875" style="58" bestFit="1" customWidth="1"/>
    <col min="12293" max="12293" width="5.88671875" style="58" bestFit="1" customWidth="1"/>
    <col min="12294" max="12294" width="9" style="58" bestFit="1" customWidth="1"/>
    <col min="12295" max="12295" width="9" style="58" customWidth="1"/>
    <col min="12296" max="12296" width="56" style="58" customWidth="1"/>
    <col min="12297" max="12297" width="58" style="58" customWidth="1"/>
    <col min="12298" max="12298" width="43.6640625" style="58" customWidth="1"/>
    <col min="12299" max="12299" width="52" style="58" customWidth="1"/>
    <col min="12300" max="12544" width="9.109375" style="58"/>
    <col min="12545" max="12545" width="4.6640625" style="58" bestFit="1" customWidth="1"/>
    <col min="12546" max="12546" width="52.6640625" style="58" customWidth="1"/>
    <col min="12547" max="12547" width="40.5546875" style="58" bestFit="1" customWidth="1"/>
    <col min="12548" max="12548" width="4.5546875" style="58" bestFit="1" customWidth="1"/>
    <col min="12549" max="12549" width="5.88671875" style="58" bestFit="1" customWidth="1"/>
    <col min="12550" max="12550" width="9" style="58" bestFit="1" customWidth="1"/>
    <col min="12551" max="12551" width="9" style="58" customWidth="1"/>
    <col min="12552" max="12552" width="56" style="58" customWidth="1"/>
    <col min="12553" max="12553" width="58" style="58" customWidth="1"/>
    <col min="12554" max="12554" width="43.6640625" style="58" customWidth="1"/>
    <col min="12555" max="12555" width="52" style="58" customWidth="1"/>
    <col min="12556" max="12800" width="9.109375" style="58"/>
    <col min="12801" max="12801" width="4.6640625" style="58" bestFit="1" customWidth="1"/>
    <col min="12802" max="12802" width="52.6640625" style="58" customWidth="1"/>
    <col min="12803" max="12803" width="40.5546875" style="58" bestFit="1" customWidth="1"/>
    <col min="12804" max="12804" width="4.5546875" style="58" bestFit="1" customWidth="1"/>
    <col min="12805" max="12805" width="5.88671875" style="58" bestFit="1" customWidth="1"/>
    <col min="12806" max="12806" width="9" style="58" bestFit="1" customWidth="1"/>
    <col min="12807" max="12807" width="9" style="58" customWidth="1"/>
    <col min="12808" max="12808" width="56" style="58" customWidth="1"/>
    <col min="12809" max="12809" width="58" style="58" customWidth="1"/>
    <col min="12810" max="12810" width="43.6640625" style="58" customWidth="1"/>
    <col min="12811" max="12811" width="52" style="58" customWidth="1"/>
    <col min="12812" max="13056" width="9.109375" style="58"/>
    <col min="13057" max="13057" width="4.6640625" style="58" bestFit="1" customWidth="1"/>
    <col min="13058" max="13058" width="52.6640625" style="58" customWidth="1"/>
    <col min="13059" max="13059" width="40.5546875" style="58" bestFit="1" customWidth="1"/>
    <col min="13060" max="13060" width="4.5546875" style="58" bestFit="1" customWidth="1"/>
    <col min="13061" max="13061" width="5.88671875" style="58" bestFit="1" customWidth="1"/>
    <col min="13062" max="13062" width="9" style="58" bestFit="1" customWidth="1"/>
    <col min="13063" max="13063" width="9" style="58" customWidth="1"/>
    <col min="13064" max="13064" width="56" style="58" customWidth="1"/>
    <col min="13065" max="13065" width="58" style="58" customWidth="1"/>
    <col min="13066" max="13066" width="43.6640625" style="58" customWidth="1"/>
    <col min="13067" max="13067" width="52" style="58" customWidth="1"/>
    <col min="13068" max="13312" width="9.109375" style="58"/>
    <col min="13313" max="13313" width="4.6640625" style="58" bestFit="1" customWidth="1"/>
    <col min="13314" max="13314" width="52.6640625" style="58" customWidth="1"/>
    <col min="13315" max="13315" width="40.5546875" style="58" bestFit="1" customWidth="1"/>
    <col min="13316" max="13316" width="4.5546875" style="58" bestFit="1" customWidth="1"/>
    <col min="13317" max="13317" width="5.88671875" style="58" bestFit="1" customWidth="1"/>
    <col min="13318" max="13318" width="9" style="58" bestFit="1" customWidth="1"/>
    <col min="13319" max="13319" width="9" style="58" customWidth="1"/>
    <col min="13320" max="13320" width="56" style="58" customWidth="1"/>
    <col min="13321" max="13321" width="58" style="58" customWidth="1"/>
    <col min="13322" max="13322" width="43.6640625" style="58" customWidth="1"/>
    <col min="13323" max="13323" width="52" style="58" customWidth="1"/>
    <col min="13324" max="13568" width="9.109375" style="58"/>
    <col min="13569" max="13569" width="4.6640625" style="58" bestFit="1" customWidth="1"/>
    <col min="13570" max="13570" width="52.6640625" style="58" customWidth="1"/>
    <col min="13571" max="13571" width="40.5546875" style="58" bestFit="1" customWidth="1"/>
    <col min="13572" max="13572" width="4.5546875" style="58" bestFit="1" customWidth="1"/>
    <col min="13573" max="13573" width="5.88671875" style="58" bestFit="1" customWidth="1"/>
    <col min="13574" max="13574" width="9" style="58" bestFit="1" customWidth="1"/>
    <col min="13575" max="13575" width="9" style="58" customWidth="1"/>
    <col min="13576" max="13576" width="56" style="58" customWidth="1"/>
    <col min="13577" max="13577" width="58" style="58" customWidth="1"/>
    <col min="13578" max="13578" width="43.6640625" style="58" customWidth="1"/>
    <col min="13579" max="13579" width="52" style="58" customWidth="1"/>
    <col min="13580" max="13824" width="9.109375" style="58"/>
    <col min="13825" max="13825" width="4.6640625" style="58" bestFit="1" customWidth="1"/>
    <col min="13826" max="13826" width="52.6640625" style="58" customWidth="1"/>
    <col min="13827" max="13827" width="40.5546875" style="58" bestFit="1" customWidth="1"/>
    <col min="13828" max="13828" width="4.5546875" style="58" bestFit="1" customWidth="1"/>
    <col min="13829" max="13829" width="5.88671875" style="58" bestFit="1" customWidth="1"/>
    <col min="13830" max="13830" width="9" style="58" bestFit="1" customWidth="1"/>
    <col min="13831" max="13831" width="9" style="58" customWidth="1"/>
    <col min="13832" max="13832" width="56" style="58" customWidth="1"/>
    <col min="13833" max="13833" width="58" style="58" customWidth="1"/>
    <col min="13834" max="13834" width="43.6640625" style="58" customWidth="1"/>
    <col min="13835" max="13835" width="52" style="58" customWidth="1"/>
    <col min="13836" max="14080" width="9.109375" style="58"/>
    <col min="14081" max="14081" width="4.6640625" style="58" bestFit="1" customWidth="1"/>
    <col min="14082" max="14082" width="52.6640625" style="58" customWidth="1"/>
    <col min="14083" max="14083" width="40.5546875" style="58" bestFit="1" customWidth="1"/>
    <col min="14084" max="14084" width="4.5546875" style="58" bestFit="1" customWidth="1"/>
    <col min="14085" max="14085" width="5.88671875" style="58" bestFit="1" customWidth="1"/>
    <col min="14086" max="14086" width="9" style="58" bestFit="1" customWidth="1"/>
    <col min="14087" max="14087" width="9" style="58" customWidth="1"/>
    <col min="14088" max="14088" width="56" style="58" customWidth="1"/>
    <col min="14089" max="14089" width="58" style="58" customWidth="1"/>
    <col min="14090" max="14090" width="43.6640625" style="58" customWidth="1"/>
    <col min="14091" max="14091" width="52" style="58" customWidth="1"/>
    <col min="14092" max="14336" width="9.109375" style="58"/>
    <col min="14337" max="14337" width="4.6640625" style="58" bestFit="1" customWidth="1"/>
    <col min="14338" max="14338" width="52.6640625" style="58" customWidth="1"/>
    <col min="14339" max="14339" width="40.5546875" style="58" bestFit="1" customWidth="1"/>
    <col min="14340" max="14340" width="4.5546875" style="58" bestFit="1" customWidth="1"/>
    <col min="14341" max="14341" width="5.88671875" style="58" bestFit="1" customWidth="1"/>
    <col min="14342" max="14342" width="9" style="58" bestFit="1" customWidth="1"/>
    <col min="14343" max="14343" width="9" style="58" customWidth="1"/>
    <col min="14344" max="14344" width="56" style="58" customWidth="1"/>
    <col min="14345" max="14345" width="58" style="58" customWidth="1"/>
    <col min="14346" max="14346" width="43.6640625" style="58" customWidth="1"/>
    <col min="14347" max="14347" width="52" style="58" customWidth="1"/>
    <col min="14348" max="14592" width="9.109375" style="58"/>
    <col min="14593" max="14593" width="4.6640625" style="58" bestFit="1" customWidth="1"/>
    <col min="14594" max="14594" width="52.6640625" style="58" customWidth="1"/>
    <col min="14595" max="14595" width="40.5546875" style="58" bestFit="1" customWidth="1"/>
    <col min="14596" max="14596" width="4.5546875" style="58" bestFit="1" customWidth="1"/>
    <col min="14597" max="14597" width="5.88671875" style="58" bestFit="1" customWidth="1"/>
    <col min="14598" max="14598" width="9" style="58" bestFit="1" customWidth="1"/>
    <col min="14599" max="14599" width="9" style="58" customWidth="1"/>
    <col min="14600" max="14600" width="56" style="58" customWidth="1"/>
    <col min="14601" max="14601" width="58" style="58" customWidth="1"/>
    <col min="14602" max="14602" width="43.6640625" style="58" customWidth="1"/>
    <col min="14603" max="14603" width="52" style="58" customWidth="1"/>
    <col min="14604" max="14848" width="9.109375" style="58"/>
    <col min="14849" max="14849" width="4.6640625" style="58" bestFit="1" customWidth="1"/>
    <col min="14850" max="14850" width="52.6640625" style="58" customWidth="1"/>
    <col min="14851" max="14851" width="40.5546875" style="58" bestFit="1" customWidth="1"/>
    <col min="14852" max="14852" width="4.5546875" style="58" bestFit="1" customWidth="1"/>
    <col min="14853" max="14853" width="5.88671875" style="58" bestFit="1" customWidth="1"/>
    <col min="14854" max="14854" width="9" style="58" bestFit="1" customWidth="1"/>
    <col min="14855" max="14855" width="9" style="58" customWidth="1"/>
    <col min="14856" max="14856" width="56" style="58" customWidth="1"/>
    <col min="14857" max="14857" width="58" style="58" customWidth="1"/>
    <col min="14858" max="14858" width="43.6640625" style="58" customWidth="1"/>
    <col min="14859" max="14859" width="52" style="58" customWidth="1"/>
    <col min="14860" max="15104" width="9.109375" style="58"/>
    <col min="15105" max="15105" width="4.6640625" style="58" bestFit="1" customWidth="1"/>
    <col min="15106" max="15106" width="52.6640625" style="58" customWidth="1"/>
    <col min="15107" max="15107" width="40.5546875" style="58" bestFit="1" customWidth="1"/>
    <col min="15108" max="15108" width="4.5546875" style="58" bestFit="1" customWidth="1"/>
    <col min="15109" max="15109" width="5.88671875" style="58" bestFit="1" customWidth="1"/>
    <col min="15110" max="15110" width="9" style="58" bestFit="1" customWidth="1"/>
    <col min="15111" max="15111" width="9" style="58" customWidth="1"/>
    <col min="15112" max="15112" width="56" style="58" customWidth="1"/>
    <col min="15113" max="15113" width="58" style="58" customWidth="1"/>
    <col min="15114" max="15114" width="43.6640625" style="58" customWidth="1"/>
    <col min="15115" max="15115" width="52" style="58" customWidth="1"/>
    <col min="15116" max="15360" width="9.109375" style="58"/>
    <col min="15361" max="15361" width="4.6640625" style="58" bestFit="1" customWidth="1"/>
    <col min="15362" max="15362" width="52.6640625" style="58" customWidth="1"/>
    <col min="15363" max="15363" width="40.5546875" style="58" bestFit="1" customWidth="1"/>
    <col min="15364" max="15364" width="4.5546875" style="58" bestFit="1" customWidth="1"/>
    <col min="15365" max="15365" width="5.88671875" style="58" bestFit="1" customWidth="1"/>
    <col min="15366" max="15366" width="9" style="58" bestFit="1" customWidth="1"/>
    <col min="15367" max="15367" width="9" style="58" customWidth="1"/>
    <col min="15368" max="15368" width="56" style="58" customWidth="1"/>
    <col min="15369" max="15369" width="58" style="58" customWidth="1"/>
    <col min="15370" max="15370" width="43.6640625" style="58" customWidth="1"/>
    <col min="15371" max="15371" width="52" style="58" customWidth="1"/>
    <col min="15372" max="15616" width="9.109375" style="58"/>
    <col min="15617" max="15617" width="4.6640625" style="58" bestFit="1" customWidth="1"/>
    <col min="15618" max="15618" width="52.6640625" style="58" customWidth="1"/>
    <col min="15619" max="15619" width="40.5546875" style="58" bestFit="1" customWidth="1"/>
    <col min="15620" max="15620" width="4.5546875" style="58" bestFit="1" customWidth="1"/>
    <col min="15621" max="15621" width="5.88671875" style="58" bestFit="1" customWidth="1"/>
    <col min="15622" max="15622" width="9" style="58" bestFit="1" customWidth="1"/>
    <col min="15623" max="15623" width="9" style="58" customWidth="1"/>
    <col min="15624" max="15624" width="56" style="58" customWidth="1"/>
    <col min="15625" max="15625" width="58" style="58" customWidth="1"/>
    <col min="15626" max="15626" width="43.6640625" style="58" customWidth="1"/>
    <col min="15627" max="15627" width="52" style="58" customWidth="1"/>
    <col min="15628" max="15872" width="9.109375" style="58"/>
    <col min="15873" max="15873" width="4.6640625" style="58" bestFit="1" customWidth="1"/>
    <col min="15874" max="15874" width="52.6640625" style="58" customWidth="1"/>
    <col min="15875" max="15875" width="40.5546875" style="58" bestFit="1" customWidth="1"/>
    <col min="15876" max="15876" width="4.5546875" style="58" bestFit="1" customWidth="1"/>
    <col min="15877" max="15877" width="5.88671875" style="58" bestFit="1" customWidth="1"/>
    <col min="15878" max="15878" width="9" style="58" bestFit="1" customWidth="1"/>
    <col min="15879" max="15879" width="9" style="58" customWidth="1"/>
    <col min="15880" max="15880" width="56" style="58" customWidth="1"/>
    <col min="15881" max="15881" width="58" style="58" customWidth="1"/>
    <col min="15882" max="15882" width="43.6640625" style="58" customWidth="1"/>
    <col min="15883" max="15883" width="52" style="58" customWidth="1"/>
    <col min="15884" max="16128" width="9.109375" style="58"/>
    <col min="16129" max="16129" width="4.6640625" style="58" bestFit="1" customWidth="1"/>
    <col min="16130" max="16130" width="52.6640625" style="58" customWidth="1"/>
    <col min="16131" max="16131" width="40.5546875" style="58" bestFit="1" customWidth="1"/>
    <col min="16132" max="16132" width="4.5546875" style="58" bestFit="1" customWidth="1"/>
    <col min="16133" max="16133" width="5.88671875" style="58" bestFit="1" customWidth="1"/>
    <col min="16134" max="16134" width="9" style="58" bestFit="1" customWidth="1"/>
    <col min="16135" max="16135" width="9" style="58" customWidth="1"/>
    <col min="16136" max="16136" width="56" style="58" customWidth="1"/>
    <col min="16137" max="16137" width="58" style="58" customWidth="1"/>
    <col min="16138" max="16138" width="43.6640625" style="58" customWidth="1"/>
    <col min="16139" max="16139" width="52" style="58" customWidth="1"/>
    <col min="16140" max="16384" width="9.109375" style="58"/>
  </cols>
  <sheetData>
    <row r="1" spans="1:10" ht="28.5" customHeight="1" x14ac:dyDescent="0.5">
      <c r="A1" s="1" t="s">
        <v>435</v>
      </c>
      <c r="B1" s="2"/>
      <c r="C1" s="2"/>
      <c r="D1" s="2"/>
      <c r="E1" s="2"/>
      <c r="F1" s="3"/>
      <c r="G1" s="2"/>
      <c r="H1" s="4"/>
      <c r="I1" s="5"/>
    </row>
    <row r="2" spans="1:10" ht="13.8" customHeight="1" x14ac:dyDescent="0.5">
      <c r="A2" s="1"/>
      <c r="B2" s="2"/>
      <c r="C2" s="2"/>
      <c r="D2" s="2"/>
      <c r="E2" s="2"/>
      <c r="F2" s="3"/>
      <c r="G2" s="2"/>
      <c r="H2" s="4"/>
      <c r="I2" s="5"/>
    </row>
    <row r="3" spans="1:10" ht="13.8" customHeight="1" x14ac:dyDescent="0.5">
      <c r="A3" s="1"/>
      <c r="B3" s="2"/>
      <c r="C3" s="2"/>
      <c r="D3" s="2"/>
      <c r="E3" s="2"/>
      <c r="F3" s="3"/>
      <c r="G3" s="2"/>
      <c r="H3" s="4"/>
      <c r="I3" s="5"/>
    </row>
    <row r="4" spans="1:10" ht="24.6" x14ac:dyDescent="0.4">
      <c r="A4" s="504" t="s">
        <v>406</v>
      </c>
      <c r="B4" s="504"/>
      <c r="C4" s="504"/>
      <c r="D4" s="6"/>
      <c r="E4" s="7"/>
      <c r="F4" s="8"/>
      <c r="G4" s="9"/>
      <c r="H4" s="10"/>
      <c r="I4" s="9"/>
      <c r="J4" s="10"/>
    </row>
    <row r="5" spans="1:10" x14ac:dyDescent="0.3">
      <c r="A5" s="11"/>
      <c r="B5" s="12"/>
      <c r="C5" s="12"/>
      <c r="D5" s="13"/>
      <c r="E5" s="13"/>
      <c r="F5" s="14"/>
      <c r="G5" s="13"/>
      <c r="H5" s="15"/>
      <c r="I5" s="16" t="s">
        <v>0</v>
      </c>
      <c r="J5" s="17"/>
    </row>
    <row r="6" spans="1:10" ht="21" x14ac:dyDescent="0.4">
      <c r="A6" s="505" t="s">
        <v>391</v>
      </c>
      <c r="B6" s="505"/>
      <c r="C6" s="505"/>
      <c r="D6" s="13"/>
      <c r="E6" s="17"/>
      <c r="F6" s="18"/>
      <c r="G6" s="19"/>
      <c r="H6" s="20"/>
      <c r="I6" s="21">
        <f>SUM(F9:F10)</f>
        <v>160</v>
      </c>
      <c r="J6" s="22"/>
    </row>
    <row r="7" spans="1:10" s="64" customFormat="1" x14ac:dyDescent="0.3">
      <c r="A7" s="13"/>
      <c r="B7" s="23" t="s">
        <v>2</v>
      </c>
      <c r="C7" s="23" t="s">
        <v>3</v>
      </c>
      <c r="D7" s="24" t="s">
        <v>4</v>
      </c>
      <c r="E7" s="25" t="s">
        <v>5</v>
      </c>
      <c r="F7" s="26" t="s">
        <v>6</v>
      </c>
      <c r="G7" s="24" t="s">
        <v>7</v>
      </c>
      <c r="H7" s="27" t="s">
        <v>8</v>
      </c>
      <c r="I7" s="23" t="s">
        <v>9</v>
      </c>
      <c r="J7" s="28" t="s">
        <v>10</v>
      </c>
    </row>
    <row r="8" spans="1:10" x14ac:dyDescent="0.3">
      <c r="A8" s="13"/>
      <c r="B8" s="29" t="s">
        <v>11</v>
      </c>
      <c r="C8" s="30"/>
      <c r="D8" s="30"/>
      <c r="E8" s="31"/>
      <c r="F8" s="32"/>
      <c r="G8" s="30"/>
      <c r="H8" s="31"/>
      <c r="I8" s="33"/>
      <c r="J8" s="34"/>
    </row>
    <row r="9" spans="1:10" x14ac:dyDescent="0.25">
      <c r="A9" s="42"/>
      <c r="B9" s="44" t="s">
        <v>59</v>
      </c>
      <c r="C9" s="44" t="s">
        <v>18</v>
      </c>
      <c r="D9" s="42" t="s">
        <v>15</v>
      </c>
      <c r="E9" s="42">
        <v>2</v>
      </c>
      <c r="F9" s="38">
        <v>72</v>
      </c>
      <c r="G9" s="67"/>
      <c r="H9" s="39" t="s">
        <v>138</v>
      </c>
      <c r="I9" s="40" t="s">
        <v>64</v>
      </c>
      <c r="J9" s="457"/>
    </row>
    <row r="10" spans="1:10" x14ac:dyDescent="0.25">
      <c r="A10" s="42"/>
      <c r="B10" s="110" t="s">
        <v>61</v>
      </c>
      <c r="C10" s="54" t="s">
        <v>47</v>
      </c>
      <c r="D10" s="42" t="s">
        <v>15</v>
      </c>
      <c r="E10" s="42">
        <v>2</v>
      </c>
      <c r="F10" s="38">
        <v>88</v>
      </c>
      <c r="G10" s="67"/>
      <c r="H10" s="39" t="s">
        <v>140</v>
      </c>
      <c r="I10" s="43" t="s">
        <v>63</v>
      </c>
      <c r="J10" s="38"/>
    </row>
    <row r="11" spans="1:10" x14ac:dyDescent="0.25">
      <c r="A11" s="42"/>
      <c r="B11" s="110"/>
      <c r="C11" s="54"/>
      <c r="D11" s="42"/>
      <c r="E11" s="42"/>
      <c r="F11" s="38"/>
      <c r="G11" s="67"/>
      <c r="H11" s="39"/>
      <c r="I11" s="43"/>
      <c r="J11" s="38"/>
    </row>
    <row r="12" spans="1:10" x14ac:dyDescent="0.25">
      <c r="A12" s="42"/>
      <c r="B12" s="110"/>
      <c r="C12" s="54"/>
      <c r="D12" s="42"/>
      <c r="E12" s="42"/>
      <c r="F12" s="38"/>
      <c r="G12" s="67"/>
      <c r="H12" s="39"/>
      <c r="I12" s="43"/>
      <c r="J12" s="38"/>
    </row>
    <row r="13" spans="1:10" ht="21" x14ac:dyDescent="0.4">
      <c r="A13" s="489" t="s">
        <v>393</v>
      </c>
      <c r="B13" s="489"/>
      <c r="C13" s="489"/>
      <c r="D13" s="13"/>
      <c r="E13" s="17"/>
      <c r="F13" s="462"/>
      <c r="G13" s="19"/>
      <c r="H13" s="48">
        <f>SUM(F16:F18)</f>
        <v>246</v>
      </c>
      <c r="I13" s="14"/>
      <c r="J13" s="28"/>
    </row>
    <row r="14" spans="1:10" s="64" customFormat="1" x14ac:dyDescent="0.3">
      <c r="A14" s="13"/>
      <c r="B14" s="23" t="s">
        <v>2</v>
      </c>
      <c r="C14" s="23" t="s">
        <v>3</v>
      </c>
      <c r="D14" s="24" t="s">
        <v>4</v>
      </c>
      <c r="E14" s="25" t="s">
        <v>5</v>
      </c>
      <c r="F14" s="26" t="s">
        <v>6</v>
      </c>
      <c r="G14" s="24" t="s">
        <v>7</v>
      </c>
      <c r="H14" s="27" t="s">
        <v>8</v>
      </c>
      <c r="I14" s="23" t="s">
        <v>9</v>
      </c>
      <c r="J14" s="28"/>
    </row>
    <row r="15" spans="1:10" x14ac:dyDescent="0.3">
      <c r="A15" s="13"/>
      <c r="B15" s="29" t="s">
        <v>11</v>
      </c>
      <c r="C15" s="30"/>
      <c r="D15" s="30"/>
      <c r="E15" s="31"/>
      <c r="F15" s="32"/>
      <c r="G15" s="49"/>
      <c r="H15" s="50"/>
      <c r="I15" s="33"/>
      <c r="J15" s="34"/>
    </row>
    <row r="16" spans="1:10" s="64" customFormat="1" x14ac:dyDescent="0.25">
      <c r="A16" s="463"/>
      <c r="B16" s="44" t="s">
        <v>62</v>
      </c>
      <c r="C16" s="44" t="s">
        <v>12</v>
      </c>
      <c r="D16" s="42" t="s">
        <v>15</v>
      </c>
      <c r="E16" s="42">
        <v>2</v>
      </c>
      <c r="F16" s="26">
        <v>136</v>
      </c>
      <c r="G16" s="26"/>
      <c r="H16" s="39" t="s">
        <v>171</v>
      </c>
      <c r="I16" s="40" t="s">
        <v>392</v>
      </c>
      <c r="J16" s="38"/>
    </row>
    <row r="17" spans="1:10" s="64" customFormat="1" x14ac:dyDescent="0.25">
      <c r="A17" s="463"/>
      <c r="B17" s="51" t="s">
        <v>74</v>
      </c>
      <c r="C17" s="52" t="s">
        <v>12</v>
      </c>
      <c r="D17" s="37" t="s">
        <v>15</v>
      </c>
      <c r="E17" s="37">
        <v>2</v>
      </c>
      <c r="F17" s="26">
        <v>110</v>
      </c>
      <c r="G17" s="26"/>
      <c r="H17" s="39" t="s">
        <v>177</v>
      </c>
      <c r="I17" s="40" t="s">
        <v>392</v>
      </c>
      <c r="J17" s="38"/>
    </row>
    <row r="18" spans="1:10" s="64" customFormat="1" x14ac:dyDescent="0.25">
      <c r="A18" s="463"/>
      <c r="B18" s="44"/>
      <c r="C18" s="44"/>
      <c r="D18" s="42"/>
      <c r="E18" s="42"/>
      <c r="F18" s="38"/>
      <c r="G18" s="26"/>
      <c r="H18" s="39"/>
      <c r="I18" s="53"/>
      <c r="J18" s="38"/>
    </row>
    <row r="19" spans="1:10" x14ac:dyDescent="0.3">
      <c r="A19" s="59"/>
      <c r="B19" s="60"/>
      <c r="C19" s="60"/>
      <c r="D19" s="60"/>
      <c r="E19" s="60"/>
      <c r="G19" s="60"/>
      <c r="H19" s="62"/>
      <c r="I19" s="60"/>
    </row>
    <row r="20" spans="1:10" ht="24.6" x14ac:dyDescent="0.4">
      <c r="A20" s="504" t="s">
        <v>407</v>
      </c>
      <c r="B20" s="504"/>
      <c r="C20" s="504"/>
      <c r="D20" s="6"/>
      <c r="E20" s="7"/>
      <c r="F20" s="8"/>
      <c r="G20" s="9"/>
      <c r="H20" s="10"/>
      <c r="I20" s="9"/>
      <c r="J20" s="10"/>
    </row>
    <row r="21" spans="1:10" x14ac:dyDescent="0.3">
      <c r="A21" s="11"/>
      <c r="B21" s="12"/>
      <c r="C21" s="12"/>
      <c r="D21" s="13"/>
      <c r="E21" s="13"/>
      <c r="F21" s="14"/>
      <c r="G21" s="13"/>
      <c r="H21" s="15"/>
      <c r="I21" s="16" t="s">
        <v>0</v>
      </c>
      <c r="J21" s="17"/>
    </row>
    <row r="22" spans="1:10" ht="21" x14ac:dyDescent="0.4">
      <c r="A22" s="505" t="s">
        <v>394</v>
      </c>
      <c r="B22" s="505"/>
      <c r="C22" s="505"/>
      <c r="D22" s="13"/>
      <c r="E22" s="17"/>
      <c r="F22" s="18"/>
      <c r="G22" s="19"/>
      <c r="H22" s="20"/>
      <c r="I22" s="21">
        <f>SUM(F25:F26)</f>
        <v>851</v>
      </c>
      <c r="J22" s="22"/>
    </row>
    <row r="23" spans="1:10" s="64" customFormat="1" x14ac:dyDescent="0.3">
      <c r="A23" s="13"/>
      <c r="B23" s="23" t="s">
        <v>2</v>
      </c>
      <c r="C23" s="23" t="s">
        <v>3</v>
      </c>
      <c r="D23" s="24" t="s">
        <v>4</v>
      </c>
      <c r="E23" s="25" t="s">
        <v>5</v>
      </c>
      <c r="F23" s="26" t="s">
        <v>6</v>
      </c>
      <c r="G23" s="24" t="s">
        <v>7</v>
      </c>
      <c r="H23" s="27" t="s">
        <v>8</v>
      </c>
      <c r="I23" s="23" t="s">
        <v>9</v>
      </c>
      <c r="J23" s="28" t="s">
        <v>10</v>
      </c>
    </row>
    <row r="24" spans="1:10" ht="16.2" thickBot="1" x14ac:dyDescent="0.35">
      <c r="A24" s="13"/>
      <c r="B24" s="29" t="s">
        <v>11</v>
      </c>
      <c r="C24" s="30"/>
      <c r="D24" s="30"/>
      <c r="E24" s="31"/>
      <c r="F24" s="32"/>
      <c r="G24" s="30"/>
      <c r="H24" s="31"/>
      <c r="I24" s="33"/>
      <c r="J24" s="34"/>
    </row>
    <row r="25" spans="1:10" ht="30" customHeight="1" x14ac:dyDescent="0.25">
      <c r="A25" s="42"/>
      <c r="B25" s="459" t="s">
        <v>387</v>
      </c>
      <c r="C25" s="459" t="s">
        <v>388</v>
      </c>
      <c r="D25" s="37" t="s">
        <v>30</v>
      </c>
      <c r="E25" s="37">
        <v>2</v>
      </c>
      <c r="F25" s="38">
        <v>332</v>
      </c>
      <c r="G25" s="14"/>
      <c r="H25" s="460" t="s">
        <v>137</v>
      </c>
      <c r="I25" s="464" t="s">
        <v>395</v>
      </c>
      <c r="J25" s="457"/>
    </row>
    <row r="26" spans="1:10" ht="102.6" customHeight="1" x14ac:dyDescent="0.3">
      <c r="A26" s="13"/>
      <c r="B26" s="54" t="s">
        <v>415</v>
      </c>
      <c r="C26" s="46" t="s">
        <v>58</v>
      </c>
      <c r="D26" s="37" t="s">
        <v>30</v>
      </c>
      <c r="E26" s="26">
        <v>3</v>
      </c>
      <c r="F26" s="38">
        <f>(300+128+50+41)</f>
        <v>519</v>
      </c>
      <c r="G26" s="14"/>
      <c r="H26" s="142" t="s">
        <v>137</v>
      </c>
      <c r="I26" s="143" t="s">
        <v>395</v>
      </c>
      <c r="J26" s="41"/>
    </row>
    <row r="27" spans="1:10" x14ac:dyDescent="0.25">
      <c r="A27" s="42"/>
      <c r="B27" s="479"/>
      <c r="C27" s="480"/>
      <c r="D27" s="37"/>
      <c r="E27" s="37"/>
      <c r="F27" s="38"/>
      <c r="G27" s="14"/>
      <c r="H27" s="46"/>
      <c r="I27" s="143"/>
      <c r="J27" s="457"/>
    </row>
    <row r="28" spans="1:10" x14ac:dyDescent="0.25">
      <c r="A28" s="42"/>
      <c r="B28" s="479"/>
      <c r="C28" s="480"/>
      <c r="D28" s="37"/>
      <c r="E28" s="37"/>
      <c r="F28" s="38"/>
      <c r="G28" s="14"/>
      <c r="H28" s="46"/>
      <c r="I28" s="143"/>
      <c r="J28" s="457"/>
    </row>
    <row r="29" spans="1:10" ht="21" x14ac:dyDescent="0.4">
      <c r="A29" s="489" t="s">
        <v>128</v>
      </c>
      <c r="B29" s="489"/>
      <c r="C29" s="489"/>
      <c r="D29" s="13"/>
      <c r="E29" s="17"/>
      <c r="F29" s="462"/>
      <c r="G29" s="19"/>
      <c r="H29" s="48">
        <f>SUM(F32:F35)</f>
        <v>353</v>
      </c>
      <c r="I29" s="14"/>
      <c r="J29" s="28"/>
    </row>
    <row r="30" spans="1:10" s="64" customFormat="1" x14ac:dyDescent="0.3">
      <c r="A30" s="13"/>
      <c r="B30" s="23" t="s">
        <v>2</v>
      </c>
      <c r="C30" s="23" t="s">
        <v>3</v>
      </c>
      <c r="D30" s="24" t="s">
        <v>4</v>
      </c>
      <c r="E30" s="25" t="s">
        <v>5</v>
      </c>
      <c r="F30" s="26" t="s">
        <v>6</v>
      </c>
      <c r="G30" s="24" t="s">
        <v>7</v>
      </c>
      <c r="H30" s="27" t="s">
        <v>8</v>
      </c>
      <c r="I30" s="23" t="s">
        <v>9</v>
      </c>
      <c r="J30" s="28"/>
    </row>
    <row r="31" spans="1:10" x14ac:dyDescent="0.3">
      <c r="A31" s="13"/>
      <c r="B31" s="29" t="s">
        <v>11</v>
      </c>
      <c r="C31" s="30"/>
      <c r="D31" s="30"/>
      <c r="E31" s="31"/>
      <c r="F31" s="32"/>
      <c r="G31" s="49"/>
      <c r="H31" s="50"/>
      <c r="I31" s="33"/>
      <c r="J31" s="34"/>
    </row>
    <row r="32" spans="1:10" x14ac:dyDescent="0.25">
      <c r="A32" s="42"/>
      <c r="B32" s="39" t="s">
        <v>17</v>
      </c>
      <c r="C32" s="46" t="s">
        <v>18</v>
      </c>
      <c r="D32" s="37" t="s">
        <v>15</v>
      </c>
      <c r="E32" s="37">
        <v>2</v>
      </c>
      <c r="F32" s="38">
        <v>99</v>
      </c>
      <c r="G32" s="14"/>
      <c r="H32" s="46" t="s">
        <v>19</v>
      </c>
      <c r="I32" s="143" t="s">
        <v>416</v>
      </c>
      <c r="J32" s="457"/>
    </row>
    <row r="33" spans="1:10" x14ac:dyDescent="0.25">
      <c r="A33" s="42"/>
      <c r="B33" s="39" t="s">
        <v>20</v>
      </c>
      <c r="C33" s="46" t="s">
        <v>12</v>
      </c>
      <c r="D33" s="37" t="s">
        <v>15</v>
      </c>
      <c r="E33" s="37">
        <v>2</v>
      </c>
      <c r="F33" s="38">
        <v>141</v>
      </c>
      <c r="G33" s="14"/>
      <c r="H33" s="46" t="s">
        <v>21</v>
      </c>
      <c r="I33" s="143" t="s">
        <v>416</v>
      </c>
      <c r="J33" s="457"/>
    </row>
    <row r="34" spans="1:10" x14ac:dyDescent="0.25">
      <c r="A34" s="42"/>
      <c r="B34" s="39" t="s">
        <v>22</v>
      </c>
      <c r="C34" s="46" t="s">
        <v>12</v>
      </c>
      <c r="D34" s="37" t="s">
        <v>15</v>
      </c>
      <c r="E34" s="37">
        <v>2</v>
      </c>
      <c r="F34" s="38">
        <v>113</v>
      </c>
      <c r="G34" s="14"/>
      <c r="H34" s="46" t="s">
        <v>23</v>
      </c>
      <c r="I34" s="143" t="s">
        <v>416</v>
      </c>
      <c r="J34" s="457"/>
    </row>
    <row r="35" spans="1:10" x14ac:dyDescent="0.25">
      <c r="A35" s="42"/>
      <c r="B35" s="479"/>
      <c r="C35" s="480"/>
      <c r="D35" s="37"/>
      <c r="E35" s="37"/>
      <c r="F35" s="38"/>
      <c r="G35" s="14"/>
      <c r="H35" s="46"/>
      <c r="I35" s="143"/>
      <c r="J35" s="457"/>
    </row>
    <row r="36" spans="1:10" x14ac:dyDescent="0.25">
      <c r="A36" s="42"/>
      <c r="B36" s="479"/>
      <c r="C36" s="480"/>
      <c r="D36" s="37"/>
      <c r="E36" s="37"/>
      <c r="F36" s="38"/>
      <c r="G36" s="14"/>
      <c r="H36" s="46"/>
      <c r="I36" s="143"/>
      <c r="J36" s="457"/>
    </row>
    <row r="37" spans="1:10" x14ac:dyDescent="0.25">
      <c r="A37" s="42"/>
      <c r="B37" s="479"/>
      <c r="C37" s="480"/>
      <c r="D37" s="37"/>
      <c r="E37" s="37"/>
      <c r="F37" s="38"/>
      <c r="G37" s="14"/>
      <c r="H37" s="46"/>
      <c r="I37" s="143"/>
      <c r="J37" s="457"/>
    </row>
    <row r="38" spans="1:10" ht="24.6" x14ac:dyDescent="0.4">
      <c r="A38" s="504" t="s">
        <v>408</v>
      </c>
      <c r="B38" s="504"/>
      <c r="C38" s="504"/>
      <c r="D38" s="6"/>
      <c r="E38" s="7"/>
      <c r="F38" s="8"/>
      <c r="G38" s="9"/>
      <c r="H38" s="10"/>
      <c r="I38" s="9"/>
      <c r="J38" s="10"/>
    </row>
    <row r="39" spans="1:10" x14ac:dyDescent="0.3">
      <c r="A39" s="11"/>
      <c r="B39" s="12"/>
      <c r="C39" s="12"/>
      <c r="D39" s="13"/>
      <c r="E39" s="13"/>
      <c r="F39" s="14"/>
      <c r="G39" s="13"/>
      <c r="H39" s="15"/>
      <c r="I39" s="16" t="s">
        <v>0</v>
      </c>
      <c r="J39" s="17"/>
    </row>
    <row r="40" spans="1:10" ht="21" x14ac:dyDescent="0.4">
      <c r="A40" s="505" t="s">
        <v>391</v>
      </c>
      <c r="B40" s="505"/>
      <c r="C40" s="505"/>
      <c r="D40" s="13"/>
      <c r="E40" s="17"/>
      <c r="F40" s="18"/>
      <c r="G40" s="19"/>
      <c r="H40" s="20"/>
      <c r="I40" s="21">
        <f>SUM(F43:F44)</f>
        <v>0</v>
      </c>
      <c r="J40" s="22"/>
    </row>
    <row r="41" spans="1:10" s="64" customFormat="1" x14ac:dyDescent="0.3">
      <c r="A41" s="13"/>
      <c r="B41" s="23" t="s">
        <v>2</v>
      </c>
      <c r="C41" s="23" t="s">
        <v>3</v>
      </c>
      <c r="D41" s="24" t="s">
        <v>4</v>
      </c>
      <c r="E41" s="25" t="s">
        <v>5</v>
      </c>
      <c r="F41" s="26" t="s">
        <v>6</v>
      </c>
      <c r="G41" s="24" t="s">
        <v>7</v>
      </c>
      <c r="H41" s="27" t="s">
        <v>8</v>
      </c>
      <c r="I41" s="23" t="s">
        <v>9</v>
      </c>
      <c r="J41" s="28" t="s">
        <v>10</v>
      </c>
    </row>
    <row r="42" spans="1:10" x14ac:dyDescent="0.3">
      <c r="A42" s="13"/>
      <c r="B42" s="29" t="s">
        <v>11</v>
      </c>
      <c r="C42" s="30"/>
      <c r="D42" s="30"/>
      <c r="E42" s="31"/>
      <c r="F42" s="32"/>
      <c r="G42" s="30"/>
      <c r="H42" s="31"/>
      <c r="I42" s="33"/>
      <c r="J42" s="34"/>
    </row>
    <row r="43" spans="1:10" x14ac:dyDescent="0.25">
      <c r="A43" s="42"/>
      <c r="B43" s="44" t="s">
        <v>152</v>
      </c>
      <c r="C43" s="39"/>
      <c r="D43" s="37"/>
      <c r="E43" s="37"/>
      <c r="F43" s="38"/>
      <c r="G43" s="37"/>
      <c r="H43" s="39"/>
      <c r="I43" s="40"/>
      <c r="J43" s="457"/>
    </row>
    <row r="44" spans="1:10" x14ac:dyDescent="0.25">
      <c r="A44" s="42"/>
      <c r="B44" s="44"/>
      <c r="C44" s="39"/>
      <c r="D44" s="37"/>
      <c r="E44" s="37"/>
      <c r="F44" s="38"/>
      <c r="G44" s="37"/>
      <c r="H44" s="46"/>
      <c r="I44" s="40"/>
      <c r="J44" s="457"/>
    </row>
    <row r="45" spans="1:10" x14ac:dyDescent="0.3">
      <c r="A45" s="11"/>
      <c r="B45" s="12"/>
      <c r="C45" s="12"/>
      <c r="D45" s="13"/>
      <c r="E45" s="13"/>
      <c r="F45" s="14"/>
      <c r="G45" s="13"/>
      <c r="H45" s="47" t="s">
        <v>14</v>
      </c>
      <c r="I45" s="17"/>
      <c r="J45" s="17"/>
    </row>
    <row r="46" spans="1:10" ht="21" x14ac:dyDescent="0.4">
      <c r="A46" s="489" t="s">
        <v>397</v>
      </c>
      <c r="B46" s="489"/>
      <c r="C46" s="489"/>
      <c r="D46" s="13"/>
      <c r="E46" s="17"/>
      <c r="F46" s="462"/>
      <c r="G46" s="19"/>
      <c r="H46" s="48">
        <f>SUM(F49:F52)</f>
        <v>458</v>
      </c>
      <c r="I46" s="14"/>
      <c r="J46" s="28"/>
    </row>
    <row r="47" spans="1:10" s="64" customFormat="1" x14ac:dyDescent="0.3">
      <c r="A47" s="13"/>
      <c r="B47" s="23" t="s">
        <v>2</v>
      </c>
      <c r="C47" s="23" t="s">
        <v>3</v>
      </c>
      <c r="D47" s="24" t="s">
        <v>4</v>
      </c>
      <c r="E47" s="25" t="s">
        <v>5</v>
      </c>
      <c r="F47" s="26" t="s">
        <v>6</v>
      </c>
      <c r="G47" s="24" t="s">
        <v>7</v>
      </c>
      <c r="H47" s="27" t="s">
        <v>8</v>
      </c>
      <c r="I47" s="23" t="s">
        <v>9</v>
      </c>
      <c r="J47" s="28"/>
    </row>
    <row r="48" spans="1:10" x14ac:dyDescent="0.3">
      <c r="A48" s="466"/>
      <c r="B48" s="467" t="s">
        <v>11</v>
      </c>
      <c r="C48" s="468"/>
      <c r="D48" s="468"/>
      <c r="E48" s="469"/>
      <c r="F48" s="470"/>
      <c r="G48" s="471"/>
      <c r="H48" s="472"/>
      <c r="I48" s="33"/>
      <c r="J48" s="34"/>
    </row>
    <row r="49" spans="1:10" s="64" customFormat="1" x14ac:dyDescent="0.25">
      <c r="A49" s="42"/>
      <c r="B49" s="44" t="s">
        <v>91</v>
      </c>
      <c r="C49" s="44" t="s">
        <v>12</v>
      </c>
      <c r="D49" s="42" t="s">
        <v>15</v>
      </c>
      <c r="E49" s="42">
        <v>2</v>
      </c>
      <c r="F49" s="38">
        <v>134</v>
      </c>
      <c r="G49" s="26" t="s">
        <v>396</v>
      </c>
      <c r="H49" s="39" t="s">
        <v>184</v>
      </c>
      <c r="I49" s="40" t="s">
        <v>392</v>
      </c>
      <c r="J49" s="457"/>
    </row>
    <row r="50" spans="1:10" s="64" customFormat="1" x14ac:dyDescent="0.25">
      <c r="A50" s="42"/>
      <c r="B50" s="45" t="s">
        <v>340</v>
      </c>
      <c r="C50" s="39" t="s">
        <v>40</v>
      </c>
      <c r="D50" s="42" t="s">
        <v>15</v>
      </c>
      <c r="E50" s="42">
        <v>2</v>
      </c>
      <c r="F50" s="26">
        <v>227</v>
      </c>
      <c r="G50" s="26" t="s">
        <v>396</v>
      </c>
      <c r="H50" s="39" t="s">
        <v>341</v>
      </c>
      <c r="I50" s="40" t="s">
        <v>392</v>
      </c>
      <c r="J50" s="457"/>
    </row>
    <row r="51" spans="1:10" s="64" customFormat="1" x14ac:dyDescent="0.25">
      <c r="A51" s="42"/>
      <c r="B51" s="44" t="s">
        <v>51</v>
      </c>
      <c r="C51" s="44" t="s">
        <v>18</v>
      </c>
      <c r="D51" s="42" t="s">
        <v>15</v>
      </c>
      <c r="E51" s="42">
        <v>2</v>
      </c>
      <c r="F51" s="26">
        <v>97</v>
      </c>
      <c r="G51" s="26" t="s">
        <v>396</v>
      </c>
      <c r="H51" s="39" t="s">
        <v>165</v>
      </c>
      <c r="I51" s="40" t="s">
        <v>392</v>
      </c>
      <c r="J51" s="457"/>
    </row>
    <row r="52" spans="1:10" s="64" customFormat="1" x14ac:dyDescent="0.25">
      <c r="A52" s="42"/>
      <c r="B52" s="449"/>
      <c r="C52" s="449"/>
      <c r="D52" s="42"/>
      <c r="E52" s="42"/>
      <c r="F52" s="38"/>
      <c r="G52" s="42"/>
      <c r="H52" s="473"/>
      <c r="I52" s="40"/>
      <c r="J52" s="457"/>
    </row>
    <row r="53" spans="1:10" x14ac:dyDescent="0.3">
      <c r="A53" s="13"/>
      <c r="B53" s="44"/>
      <c r="C53" s="46"/>
      <c r="D53" s="37"/>
      <c r="E53" s="37"/>
      <c r="F53" s="38"/>
      <c r="G53" s="14"/>
      <c r="H53" s="46"/>
      <c r="I53" s="143"/>
      <c r="J53" s="41"/>
    </row>
    <row r="54" spans="1:10" ht="24.6" x14ac:dyDescent="0.4">
      <c r="A54" s="504" t="s">
        <v>409</v>
      </c>
      <c r="B54" s="504"/>
      <c r="C54" s="504"/>
      <c r="D54" s="6"/>
      <c r="E54" s="7"/>
      <c r="F54" s="8"/>
      <c r="G54" s="9"/>
      <c r="H54" s="10"/>
      <c r="I54" s="9"/>
      <c r="J54" s="10"/>
    </row>
    <row r="55" spans="1:10" x14ac:dyDescent="0.3">
      <c r="A55" s="11"/>
      <c r="B55" s="12"/>
      <c r="C55" s="12"/>
      <c r="D55" s="13"/>
      <c r="E55" s="13"/>
      <c r="F55" s="14"/>
      <c r="G55" s="13"/>
      <c r="H55" s="15"/>
      <c r="I55" s="16" t="s">
        <v>0</v>
      </c>
      <c r="J55" s="17"/>
    </row>
    <row r="56" spans="1:10" ht="21" x14ac:dyDescent="0.4">
      <c r="A56" s="505" t="s">
        <v>398</v>
      </c>
      <c r="B56" s="505"/>
      <c r="C56" s="505"/>
      <c r="D56" s="13"/>
      <c r="E56" s="17"/>
      <c r="F56" s="18"/>
      <c r="G56" s="19"/>
      <c r="H56" s="20"/>
      <c r="I56" s="21">
        <f>SUM(F59:F61)</f>
        <v>177</v>
      </c>
      <c r="J56" s="22"/>
    </row>
    <row r="57" spans="1:10" x14ac:dyDescent="0.3">
      <c r="A57" s="13"/>
      <c r="B57" s="23" t="s">
        <v>2</v>
      </c>
      <c r="C57" s="23" t="s">
        <v>3</v>
      </c>
      <c r="D57" s="24" t="s">
        <v>4</v>
      </c>
      <c r="E57" s="25" t="s">
        <v>5</v>
      </c>
      <c r="F57" s="26" t="s">
        <v>6</v>
      </c>
      <c r="G57" s="24" t="s">
        <v>7</v>
      </c>
      <c r="H57" s="27" t="s">
        <v>8</v>
      </c>
      <c r="I57" s="23" t="s">
        <v>9</v>
      </c>
      <c r="J57" s="28" t="s">
        <v>10</v>
      </c>
    </row>
    <row r="58" spans="1:10" x14ac:dyDescent="0.3">
      <c r="A58" s="466"/>
      <c r="B58" s="467" t="s">
        <v>11</v>
      </c>
      <c r="C58" s="468"/>
      <c r="D58" s="468"/>
      <c r="E58" s="469"/>
      <c r="F58" s="470"/>
      <c r="G58" s="468"/>
      <c r="H58" s="469"/>
      <c r="I58" s="474"/>
      <c r="J58" s="475"/>
    </row>
    <row r="59" spans="1:10" s="476" customFormat="1" x14ac:dyDescent="0.25">
      <c r="A59" s="42"/>
      <c r="B59" s="44" t="s">
        <v>43</v>
      </c>
      <c r="C59" s="44" t="s">
        <v>12</v>
      </c>
      <c r="D59" s="37" t="s">
        <v>30</v>
      </c>
      <c r="E59" s="37">
        <v>3</v>
      </c>
      <c r="F59" s="38">
        <v>177</v>
      </c>
      <c r="G59" s="14" t="s">
        <v>399</v>
      </c>
      <c r="H59" s="39" t="s">
        <v>133</v>
      </c>
      <c r="I59" s="40" t="s">
        <v>392</v>
      </c>
      <c r="J59" s="457"/>
    </row>
    <row r="60" spans="1:10" x14ac:dyDescent="0.25">
      <c r="A60" s="42"/>
      <c r="B60" s="44"/>
      <c r="C60" s="44"/>
      <c r="D60" s="37"/>
      <c r="E60" s="37"/>
      <c r="F60" s="38"/>
      <c r="G60" s="14"/>
      <c r="H60" s="39"/>
      <c r="I60" s="40"/>
      <c r="J60" s="457"/>
    </row>
    <row r="61" spans="1:10" x14ac:dyDescent="0.25">
      <c r="A61" s="42"/>
      <c r="B61" s="45"/>
      <c r="C61" s="45"/>
      <c r="D61" s="37"/>
      <c r="E61" s="37"/>
      <c r="F61" s="38"/>
      <c r="G61" s="14"/>
      <c r="H61" s="39"/>
      <c r="I61" s="43"/>
      <c r="J61" s="457"/>
    </row>
    <row r="62" spans="1:10" x14ac:dyDescent="0.3">
      <c r="A62" s="11"/>
      <c r="B62" s="12"/>
      <c r="C62" s="12"/>
      <c r="D62" s="13"/>
      <c r="E62" s="13"/>
      <c r="F62" s="14"/>
      <c r="G62" s="13"/>
      <c r="H62" s="47" t="s">
        <v>14</v>
      </c>
      <c r="I62" s="17"/>
      <c r="J62" s="17"/>
    </row>
    <row r="63" spans="1:10" ht="21" x14ac:dyDescent="0.4">
      <c r="A63" s="489" t="s">
        <v>400</v>
      </c>
      <c r="B63" s="489"/>
      <c r="C63" s="489"/>
      <c r="D63" s="13"/>
      <c r="E63" s="17"/>
      <c r="F63" s="462"/>
      <c r="G63" s="19"/>
      <c r="H63" s="48">
        <f>SUM(F66:F72)</f>
        <v>1805</v>
      </c>
      <c r="I63" s="14"/>
      <c r="J63" s="28"/>
    </row>
    <row r="64" spans="1:10" x14ac:dyDescent="0.3">
      <c r="A64" s="13"/>
      <c r="B64" s="23" t="s">
        <v>2</v>
      </c>
      <c r="C64" s="23" t="s">
        <v>3</v>
      </c>
      <c r="D64" s="24" t="s">
        <v>4</v>
      </c>
      <c r="E64" s="25" t="s">
        <v>5</v>
      </c>
      <c r="F64" s="26" t="s">
        <v>6</v>
      </c>
      <c r="G64" s="24" t="s">
        <v>7</v>
      </c>
      <c r="H64" s="27" t="s">
        <v>8</v>
      </c>
      <c r="I64" s="23" t="s">
        <v>9</v>
      </c>
      <c r="J64" s="28"/>
    </row>
    <row r="65" spans="1:10" x14ac:dyDescent="0.3">
      <c r="A65" s="13"/>
      <c r="B65" s="29" t="s">
        <v>11</v>
      </c>
      <c r="C65" s="30"/>
      <c r="D65" s="30"/>
      <c r="E65" s="31"/>
      <c r="F65" s="32"/>
      <c r="G65" s="49"/>
      <c r="H65" s="50"/>
      <c r="I65" s="33"/>
      <c r="J65" s="34"/>
    </row>
    <row r="66" spans="1:10" x14ac:dyDescent="0.25">
      <c r="A66" s="42"/>
      <c r="B66" s="44" t="s">
        <v>74</v>
      </c>
      <c r="C66" s="39" t="s">
        <v>12</v>
      </c>
      <c r="D66" s="42" t="s">
        <v>15</v>
      </c>
      <c r="E66" s="42">
        <v>2</v>
      </c>
      <c r="F66" s="38">
        <v>111</v>
      </c>
      <c r="G66" s="42" t="s">
        <v>399</v>
      </c>
      <c r="H66" s="39" t="s">
        <v>177</v>
      </c>
      <c r="I66" s="53" t="s">
        <v>392</v>
      </c>
      <c r="J66" s="457"/>
    </row>
    <row r="67" spans="1:10" ht="30" x14ac:dyDescent="0.25">
      <c r="A67" s="42"/>
      <c r="B67" s="110" t="s">
        <v>67</v>
      </c>
      <c r="C67" s="46" t="s">
        <v>68</v>
      </c>
      <c r="D67" s="37" t="s">
        <v>15</v>
      </c>
      <c r="E67" s="37">
        <v>2</v>
      </c>
      <c r="F67" s="38">
        <f>(108+297+51)</f>
        <v>456</v>
      </c>
      <c r="G67" s="14" t="s">
        <v>399</v>
      </c>
      <c r="H67" s="46" t="s">
        <v>141</v>
      </c>
      <c r="I67" s="53" t="s">
        <v>392</v>
      </c>
      <c r="J67" s="457"/>
    </row>
    <row r="68" spans="1:10" x14ac:dyDescent="0.25">
      <c r="A68" s="42"/>
      <c r="B68" s="44" t="s">
        <v>90</v>
      </c>
      <c r="C68" s="44" t="s">
        <v>47</v>
      </c>
      <c r="D68" s="42" t="s">
        <v>15</v>
      </c>
      <c r="E68" s="42">
        <v>2</v>
      </c>
      <c r="F68" s="38">
        <v>82</v>
      </c>
      <c r="G68" s="26" t="s">
        <v>399</v>
      </c>
      <c r="H68" s="39" t="s">
        <v>183</v>
      </c>
      <c r="I68" s="53" t="s">
        <v>392</v>
      </c>
      <c r="J68" s="457"/>
    </row>
    <row r="69" spans="1:10" x14ac:dyDescent="0.25">
      <c r="A69" s="42"/>
      <c r="B69" s="44" t="s">
        <v>80</v>
      </c>
      <c r="C69" s="44" t="s">
        <v>47</v>
      </c>
      <c r="D69" s="42" t="s">
        <v>15</v>
      </c>
      <c r="E69" s="42">
        <v>2</v>
      </c>
      <c r="F69" s="38">
        <v>84</v>
      </c>
      <c r="G69" s="26" t="s">
        <v>399</v>
      </c>
      <c r="H69" s="39" t="s">
        <v>140</v>
      </c>
      <c r="I69" s="44" t="s">
        <v>392</v>
      </c>
      <c r="J69" s="457"/>
    </row>
    <row r="70" spans="1:10" x14ac:dyDescent="0.25">
      <c r="A70" s="42"/>
      <c r="B70" s="44" t="s">
        <v>55</v>
      </c>
      <c r="C70" s="44" t="s">
        <v>45</v>
      </c>
      <c r="D70" s="42" t="s">
        <v>15</v>
      </c>
      <c r="E70" s="42">
        <v>2</v>
      </c>
      <c r="F70" s="26">
        <v>220</v>
      </c>
      <c r="G70" s="26" t="s">
        <v>399</v>
      </c>
      <c r="H70" s="39" t="s">
        <v>169</v>
      </c>
      <c r="I70" s="40" t="s">
        <v>392</v>
      </c>
      <c r="J70" s="457"/>
    </row>
    <row r="71" spans="1:10" ht="45" x14ac:dyDescent="0.25">
      <c r="A71" s="42"/>
      <c r="B71" s="45" t="s">
        <v>103</v>
      </c>
      <c r="C71" s="45" t="s">
        <v>95</v>
      </c>
      <c r="D71" s="113" t="s">
        <v>15</v>
      </c>
      <c r="E71" s="113">
        <v>2</v>
      </c>
      <c r="F71" s="14">
        <f>624+228</f>
        <v>852</v>
      </c>
      <c r="G71" s="37"/>
      <c r="H71" s="19" t="s">
        <v>123</v>
      </c>
      <c r="I71" s="143" t="s">
        <v>419</v>
      </c>
      <c r="J71" s="457"/>
    </row>
    <row r="72" spans="1:10" x14ac:dyDescent="0.3">
      <c r="A72" s="13"/>
      <c r="B72" s="44"/>
      <c r="C72" s="46"/>
      <c r="D72" s="37"/>
      <c r="E72" s="37"/>
      <c r="F72" s="38"/>
      <c r="G72" s="14"/>
      <c r="H72" s="46"/>
      <c r="I72" s="143"/>
      <c r="J72" s="41"/>
    </row>
    <row r="73" spans="1:10" ht="24.6" x14ac:dyDescent="0.4">
      <c r="A73" s="504" t="s">
        <v>410</v>
      </c>
      <c r="B73" s="504"/>
      <c r="C73" s="504"/>
      <c r="D73" s="6"/>
      <c r="E73" s="7"/>
      <c r="F73" s="8"/>
      <c r="G73" s="9"/>
      <c r="H73" s="10"/>
      <c r="I73" s="9"/>
      <c r="J73" s="10"/>
    </row>
    <row r="74" spans="1:10" x14ac:dyDescent="0.3">
      <c r="A74" s="11"/>
      <c r="B74" s="12"/>
      <c r="C74" s="12"/>
      <c r="D74" s="13"/>
      <c r="E74" s="13"/>
      <c r="F74" s="14"/>
      <c r="G74" s="13"/>
      <c r="H74" s="15"/>
      <c r="I74" s="16" t="s">
        <v>0</v>
      </c>
      <c r="J74" s="17"/>
    </row>
    <row r="75" spans="1:10" ht="21" x14ac:dyDescent="0.4">
      <c r="A75" s="505" t="s">
        <v>398</v>
      </c>
      <c r="B75" s="505"/>
      <c r="C75" s="505"/>
      <c r="D75" s="13"/>
      <c r="E75" s="17"/>
      <c r="F75" s="18"/>
      <c r="G75" s="19"/>
      <c r="H75" s="20"/>
      <c r="I75" s="21">
        <f>SUM(F78:F79)</f>
        <v>169</v>
      </c>
      <c r="J75" s="22"/>
    </row>
    <row r="76" spans="1:10" s="64" customFormat="1" x14ac:dyDescent="0.3">
      <c r="A76" s="13"/>
      <c r="B76" s="23" t="s">
        <v>2</v>
      </c>
      <c r="C76" s="23" t="s">
        <v>3</v>
      </c>
      <c r="D76" s="24" t="s">
        <v>4</v>
      </c>
      <c r="E76" s="25" t="s">
        <v>5</v>
      </c>
      <c r="F76" s="26" t="s">
        <v>6</v>
      </c>
      <c r="G76" s="24" t="s">
        <v>7</v>
      </c>
      <c r="H76" s="27" t="s">
        <v>8</v>
      </c>
      <c r="I76" s="23" t="s">
        <v>9</v>
      </c>
      <c r="J76" s="28" t="s">
        <v>10</v>
      </c>
    </row>
    <row r="77" spans="1:10" x14ac:dyDescent="0.3">
      <c r="A77" s="13"/>
      <c r="B77" s="29" t="s">
        <v>11</v>
      </c>
      <c r="C77" s="30"/>
      <c r="D77" s="30"/>
      <c r="E77" s="31"/>
      <c r="F77" s="32"/>
      <c r="G77" s="30"/>
      <c r="H77" s="31"/>
      <c r="I77" s="33"/>
      <c r="J77" s="34"/>
    </row>
    <row r="78" spans="1:10" x14ac:dyDescent="0.25">
      <c r="A78" s="42"/>
      <c r="B78" s="110" t="s">
        <v>60</v>
      </c>
      <c r="C78" s="54" t="s">
        <v>12</v>
      </c>
      <c r="D78" s="42" t="s">
        <v>15</v>
      </c>
      <c r="E78" s="42">
        <v>2</v>
      </c>
      <c r="F78" s="38">
        <v>94</v>
      </c>
      <c r="G78" s="67"/>
      <c r="H78" s="39" t="s">
        <v>139</v>
      </c>
      <c r="I78" s="43" t="s">
        <v>65</v>
      </c>
      <c r="J78" s="457"/>
    </row>
    <row r="79" spans="1:10" x14ac:dyDescent="0.25">
      <c r="A79" s="42"/>
      <c r="B79" s="44" t="s">
        <v>50</v>
      </c>
      <c r="C79" s="44" t="s">
        <v>29</v>
      </c>
      <c r="D79" s="42" t="s">
        <v>30</v>
      </c>
      <c r="E79" s="42">
        <v>3</v>
      </c>
      <c r="F79" s="38">
        <v>75</v>
      </c>
      <c r="G79" s="14"/>
      <c r="H79" s="39" t="s">
        <v>136</v>
      </c>
      <c r="I79" s="44" t="s">
        <v>392</v>
      </c>
      <c r="J79" s="457"/>
    </row>
    <row r="80" spans="1:10" x14ac:dyDescent="0.25">
      <c r="A80" s="42"/>
      <c r="B80" s="39"/>
      <c r="C80" s="39"/>
      <c r="D80" s="37"/>
      <c r="E80" s="37"/>
      <c r="F80" s="38"/>
      <c r="G80" s="14"/>
      <c r="H80" s="39"/>
      <c r="I80" s="43"/>
      <c r="J80" s="457"/>
    </row>
    <row r="81" spans="1:10" x14ac:dyDescent="0.25">
      <c r="A81" s="42"/>
      <c r="B81" s="44"/>
      <c r="C81" s="39"/>
      <c r="D81" s="37"/>
      <c r="E81" s="37"/>
      <c r="F81" s="38"/>
      <c r="G81" s="14"/>
      <c r="H81" s="39"/>
      <c r="I81" s="40"/>
      <c r="J81" s="457"/>
    </row>
    <row r="82" spans="1:10" x14ac:dyDescent="0.3">
      <c r="A82" s="11"/>
      <c r="B82" s="12"/>
      <c r="C82" s="12"/>
      <c r="D82" s="13"/>
      <c r="E82" s="13"/>
      <c r="F82" s="14"/>
      <c r="G82" s="13"/>
      <c r="H82" s="47" t="s">
        <v>14</v>
      </c>
      <c r="I82" s="17"/>
      <c r="J82" s="17"/>
    </row>
    <row r="83" spans="1:10" ht="21" x14ac:dyDescent="0.4">
      <c r="A83" s="489" t="s">
        <v>400</v>
      </c>
      <c r="B83" s="489"/>
      <c r="C83" s="489"/>
      <c r="D83" s="13"/>
      <c r="E83" s="17"/>
      <c r="F83" s="462"/>
      <c r="G83" s="19"/>
      <c r="H83" s="48">
        <f>SUM(F86:F90)</f>
        <v>836</v>
      </c>
      <c r="I83" s="14"/>
      <c r="J83" s="28"/>
    </row>
    <row r="84" spans="1:10" s="64" customFormat="1" x14ac:dyDescent="0.3">
      <c r="A84" s="13"/>
      <c r="B84" s="23" t="s">
        <v>2</v>
      </c>
      <c r="C84" s="23" t="s">
        <v>3</v>
      </c>
      <c r="D84" s="24" t="s">
        <v>4</v>
      </c>
      <c r="E84" s="25" t="s">
        <v>5</v>
      </c>
      <c r="F84" s="26" t="s">
        <v>6</v>
      </c>
      <c r="G84" s="24" t="s">
        <v>7</v>
      </c>
      <c r="H84" s="27" t="s">
        <v>8</v>
      </c>
      <c r="I84" s="23" t="s">
        <v>9</v>
      </c>
      <c r="J84" s="28"/>
    </row>
    <row r="85" spans="1:10" x14ac:dyDescent="0.3">
      <c r="A85" s="13"/>
      <c r="B85" s="29" t="s">
        <v>11</v>
      </c>
      <c r="C85" s="30"/>
      <c r="D85" s="30"/>
      <c r="E85" s="31"/>
      <c r="F85" s="32"/>
      <c r="G85" s="49"/>
      <c r="H85" s="50"/>
      <c r="I85" s="33"/>
      <c r="J85" s="34"/>
    </row>
    <row r="86" spans="1:10" s="64" customFormat="1" x14ac:dyDescent="0.3">
      <c r="A86" s="42"/>
      <c r="B86" s="45" t="s">
        <v>48</v>
      </c>
      <c r="C86" s="45" t="s">
        <v>49</v>
      </c>
      <c r="D86" s="113" t="s">
        <v>15</v>
      </c>
      <c r="E86" s="113">
        <v>2</v>
      </c>
      <c r="F86" s="26">
        <f>127+131</f>
        <v>258</v>
      </c>
      <c r="G86" s="26"/>
      <c r="H86" s="39" t="s">
        <v>164</v>
      </c>
      <c r="I86" s="45" t="s">
        <v>392</v>
      </c>
      <c r="J86" s="38"/>
    </row>
    <row r="87" spans="1:10" s="64" customFormat="1" x14ac:dyDescent="0.25">
      <c r="A87" s="42"/>
      <c r="B87" s="51" t="s">
        <v>71</v>
      </c>
      <c r="C87" s="52" t="s">
        <v>18</v>
      </c>
      <c r="D87" s="37" t="s">
        <v>15</v>
      </c>
      <c r="E87" s="37">
        <v>2</v>
      </c>
      <c r="F87" s="26">
        <v>87</v>
      </c>
      <c r="G87" s="26"/>
      <c r="H87" s="39" t="s">
        <v>174</v>
      </c>
      <c r="I87" s="131" t="s">
        <v>392</v>
      </c>
      <c r="J87" s="38"/>
    </row>
    <row r="88" spans="1:10" s="64" customFormat="1" x14ac:dyDescent="0.25">
      <c r="A88" s="42"/>
      <c r="B88" s="44" t="s">
        <v>44</v>
      </c>
      <c r="C88" s="44" t="s">
        <v>45</v>
      </c>
      <c r="D88" s="42" t="s">
        <v>15</v>
      </c>
      <c r="E88" s="42">
        <v>2</v>
      </c>
      <c r="F88" s="26">
        <v>251</v>
      </c>
      <c r="G88" s="68"/>
      <c r="H88" s="43" t="s">
        <v>162</v>
      </c>
      <c r="I88" s="44" t="s">
        <v>392</v>
      </c>
      <c r="J88" s="38"/>
    </row>
    <row r="89" spans="1:10" x14ac:dyDescent="0.25">
      <c r="A89" s="42"/>
      <c r="B89" s="44" t="s">
        <v>56</v>
      </c>
      <c r="C89" s="44" t="s">
        <v>36</v>
      </c>
      <c r="D89" s="42" t="s">
        <v>15</v>
      </c>
      <c r="E89" s="42">
        <v>2</v>
      </c>
      <c r="F89" s="26">
        <v>189</v>
      </c>
      <c r="G89" s="26"/>
      <c r="H89" s="39" t="s">
        <v>170</v>
      </c>
      <c r="I89" s="44" t="s">
        <v>392</v>
      </c>
      <c r="J89" s="145"/>
    </row>
    <row r="90" spans="1:10" x14ac:dyDescent="0.25">
      <c r="A90" s="42"/>
      <c r="B90" s="44" t="s">
        <v>57</v>
      </c>
      <c r="C90" s="44" t="s">
        <v>47</v>
      </c>
      <c r="D90" s="42" t="s">
        <v>30</v>
      </c>
      <c r="E90" s="42">
        <v>2</v>
      </c>
      <c r="F90" s="26">
        <v>51</v>
      </c>
      <c r="G90" s="26"/>
      <c r="H90" s="39" t="s">
        <v>154</v>
      </c>
      <c r="I90" s="44" t="s">
        <v>392</v>
      </c>
      <c r="J90" s="457"/>
    </row>
    <row r="91" spans="1:10" x14ac:dyDescent="0.25">
      <c r="A91" s="42"/>
      <c r="B91" s="110"/>
      <c r="C91" s="44"/>
      <c r="D91" s="42"/>
      <c r="E91" s="42"/>
      <c r="F91" s="38"/>
      <c r="G91" s="42"/>
      <c r="H91" s="39"/>
      <c r="I91" s="44"/>
      <c r="J91" s="457"/>
    </row>
    <row r="92" spans="1:10" x14ac:dyDescent="0.3">
      <c r="A92" s="13"/>
      <c r="B92" s="44"/>
      <c r="C92" s="46"/>
      <c r="D92" s="37"/>
      <c r="E92" s="37"/>
      <c r="F92" s="38"/>
      <c r="G92" s="14"/>
      <c r="H92" s="46"/>
      <c r="I92" s="143"/>
      <c r="J92" s="41"/>
    </row>
    <row r="93" spans="1:10" ht="24.6" x14ac:dyDescent="0.4">
      <c r="A93" s="504" t="s">
        <v>411</v>
      </c>
      <c r="B93" s="504"/>
      <c r="C93" s="504"/>
      <c r="D93" s="6"/>
      <c r="E93" s="7"/>
      <c r="F93" s="8"/>
      <c r="G93" s="9"/>
      <c r="H93" s="10"/>
      <c r="I93" s="9"/>
      <c r="J93" s="10"/>
    </row>
    <row r="94" spans="1:10" x14ac:dyDescent="0.3">
      <c r="A94" s="11"/>
      <c r="B94" s="12"/>
      <c r="C94" s="12"/>
      <c r="D94" s="13"/>
      <c r="E94" s="13"/>
      <c r="F94" s="14"/>
      <c r="G94" s="13"/>
      <c r="H94" s="15"/>
      <c r="I94" s="16" t="s">
        <v>0</v>
      </c>
      <c r="J94" s="17"/>
    </row>
    <row r="95" spans="1:10" ht="21" x14ac:dyDescent="0.4">
      <c r="A95" s="505" t="s">
        <v>391</v>
      </c>
      <c r="B95" s="505"/>
      <c r="C95" s="505"/>
      <c r="D95" s="13"/>
      <c r="E95" s="17"/>
      <c r="F95" s="18"/>
      <c r="G95" s="19"/>
      <c r="H95" s="20"/>
      <c r="I95" s="21">
        <f>SUM(F98:F99)</f>
        <v>910</v>
      </c>
      <c r="J95" s="22"/>
    </row>
    <row r="96" spans="1:10" s="64" customFormat="1" x14ac:dyDescent="0.3">
      <c r="A96" s="13"/>
      <c r="B96" s="23" t="s">
        <v>2</v>
      </c>
      <c r="C96" s="23" t="s">
        <v>3</v>
      </c>
      <c r="D96" s="24" t="s">
        <v>4</v>
      </c>
      <c r="E96" s="25" t="s">
        <v>5</v>
      </c>
      <c r="F96" s="26" t="s">
        <v>6</v>
      </c>
      <c r="G96" s="24" t="s">
        <v>7</v>
      </c>
      <c r="H96" s="27" t="s">
        <v>8</v>
      </c>
      <c r="I96" s="23" t="s">
        <v>9</v>
      </c>
      <c r="J96" s="28" t="s">
        <v>10</v>
      </c>
    </row>
    <row r="97" spans="1:10" x14ac:dyDescent="0.3">
      <c r="A97" s="13"/>
      <c r="B97" s="29" t="s">
        <v>11</v>
      </c>
      <c r="C97" s="30"/>
      <c r="D97" s="30"/>
      <c r="E97" s="31"/>
      <c r="F97" s="32"/>
      <c r="G97" s="30"/>
      <c r="H97" s="31"/>
      <c r="I97" s="33"/>
      <c r="J97" s="34"/>
    </row>
    <row r="98" spans="1:10" s="80" customFormat="1" ht="45" x14ac:dyDescent="0.3">
      <c r="A98" s="68"/>
      <c r="B98" s="131" t="s">
        <v>417</v>
      </c>
      <c r="C98" s="45" t="s">
        <v>95</v>
      </c>
      <c r="D98" s="113" t="s">
        <v>30</v>
      </c>
      <c r="E98" s="113">
        <v>2</v>
      </c>
      <c r="F98" s="14">
        <f>654+256</f>
        <v>910</v>
      </c>
      <c r="G98" s="37"/>
      <c r="H98" s="19" t="s">
        <v>149</v>
      </c>
      <c r="I98" s="143" t="s">
        <v>418</v>
      </c>
      <c r="J98" s="87"/>
    </row>
    <row r="99" spans="1:10" s="476" customFormat="1" x14ac:dyDescent="0.3">
      <c r="A99" s="42"/>
      <c r="B99" s="44"/>
      <c r="C99" s="44"/>
      <c r="D99" s="37"/>
      <c r="E99" s="37"/>
      <c r="F99" s="26"/>
      <c r="G99" s="42"/>
      <c r="H99" s="143"/>
      <c r="I99" s="143"/>
      <c r="J99" s="477"/>
    </row>
    <row r="100" spans="1:10" x14ac:dyDescent="0.3">
      <c r="A100" s="13"/>
      <c r="B100" s="44"/>
      <c r="C100" s="46"/>
      <c r="D100" s="37"/>
      <c r="E100" s="37"/>
      <c r="F100" s="38"/>
      <c r="G100" s="14"/>
      <c r="H100" s="46"/>
      <c r="I100" s="143"/>
      <c r="J100" s="41"/>
    </row>
    <row r="101" spans="1:10" x14ac:dyDescent="0.3">
      <c r="A101" s="11"/>
      <c r="B101" s="12"/>
      <c r="C101" s="12"/>
      <c r="D101" s="13"/>
      <c r="E101" s="13"/>
      <c r="F101" s="14"/>
      <c r="G101" s="13"/>
      <c r="H101" s="47" t="s">
        <v>14</v>
      </c>
      <c r="I101" s="465"/>
      <c r="J101" s="17"/>
    </row>
    <row r="102" spans="1:10" ht="21" x14ac:dyDescent="0.4">
      <c r="A102" s="489" t="s">
        <v>397</v>
      </c>
      <c r="B102" s="489"/>
      <c r="C102" s="489"/>
      <c r="D102" s="13"/>
      <c r="E102" s="17"/>
      <c r="F102" s="462"/>
      <c r="G102" s="19"/>
      <c r="H102" s="48">
        <f>SUM(F105:F110)</f>
        <v>1083</v>
      </c>
      <c r="I102" s="14"/>
      <c r="J102" s="28"/>
    </row>
    <row r="103" spans="1:10" s="64" customFormat="1" x14ac:dyDescent="0.3">
      <c r="A103" s="13"/>
      <c r="B103" s="23" t="s">
        <v>2</v>
      </c>
      <c r="C103" s="23" t="s">
        <v>3</v>
      </c>
      <c r="D103" s="24" t="s">
        <v>4</v>
      </c>
      <c r="E103" s="25" t="s">
        <v>5</v>
      </c>
      <c r="F103" s="26" t="s">
        <v>6</v>
      </c>
      <c r="G103" s="24" t="s">
        <v>7</v>
      </c>
      <c r="H103" s="27" t="s">
        <v>8</v>
      </c>
      <c r="I103" s="23" t="s">
        <v>9</v>
      </c>
      <c r="J103" s="28"/>
    </row>
    <row r="104" spans="1:10" x14ac:dyDescent="0.3">
      <c r="A104" s="13"/>
      <c r="B104" s="29" t="s">
        <v>11</v>
      </c>
      <c r="C104" s="30"/>
      <c r="D104" s="30"/>
      <c r="E104" s="31"/>
      <c r="F104" s="32"/>
      <c r="G104" s="49"/>
      <c r="H104" s="50"/>
      <c r="I104" s="33"/>
      <c r="J104" s="34"/>
    </row>
    <row r="105" spans="1:10" s="64" customFormat="1" x14ac:dyDescent="0.25">
      <c r="A105" s="42"/>
      <c r="B105" s="44" t="s">
        <v>52</v>
      </c>
      <c r="C105" s="44" t="s">
        <v>12</v>
      </c>
      <c r="D105" s="42" t="s">
        <v>15</v>
      </c>
      <c r="E105" s="42">
        <v>2</v>
      </c>
      <c r="F105" s="26">
        <v>107</v>
      </c>
      <c r="G105" s="26"/>
      <c r="H105" s="39" t="s">
        <v>166</v>
      </c>
      <c r="I105" s="458" t="s">
        <v>392</v>
      </c>
      <c r="J105" s="38"/>
    </row>
    <row r="106" spans="1:10" x14ac:dyDescent="0.25">
      <c r="A106" s="42"/>
      <c r="B106" s="44" t="s">
        <v>39</v>
      </c>
      <c r="C106" s="44" t="s">
        <v>40</v>
      </c>
      <c r="D106" s="42" t="s">
        <v>15</v>
      </c>
      <c r="E106" s="42">
        <v>2</v>
      </c>
      <c r="F106" s="26">
        <v>209</v>
      </c>
      <c r="G106" s="26"/>
      <c r="H106" s="39" t="s">
        <v>345</v>
      </c>
      <c r="I106" s="44" t="s">
        <v>392</v>
      </c>
      <c r="J106" s="38"/>
    </row>
    <row r="107" spans="1:10" x14ac:dyDescent="0.25">
      <c r="A107" s="42"/>
      <c r="B107" s="44" t="s">
        <v>31</v>
      </c>
      <c r="C107" s="44" t="s">
        <v>32</v>
      </c>
      <c r="D107" s="42" t="s">
        <v>15</v>
      </c>
      <c r="E107" s="42">
        <v>2</v>
      </c>
      <c r="F107" s="26">
        <v>61</v>
      </c>
      <c r="G107" s="26"/>
      <c r="H107" s="39" t="s">
        <v>159</v>
      </c>
      <c r="I107" s="53" t="s">
        <v>392</v>
      </c>
      <c r="J107" s="457"/>
    </row>
    <row r="108" spans="1:10" x14ac:dyDescent="0.25">
      <c r="A108" s="42"/>
      <c r="B108" s="44" t="s">
        <v>33</v>
      </c>
      <c r="C108" s="44" t="s">
        <v>34</v>
      </c>
      <c r="D108" s="42" t="s">
        <v>15</v>
      </c>
      <c r="E108" s="42">
        <v>2</v>
      </c>
      <c r="F108" s="26">
        <v>252</v>
      </c>
      <c r="G108" s="26"/>
      <c r="H108" s="39" t="s">
        <v>158</v>
      </c>
      <c r="I108" s="53" t="s">
        <v>392</v>
      </c>
      <c r="J108" s="457"/>
    </row>
    <row r="109" spans="1:10" x14ac:dyDescent="0.25">
      <c r="A109" s="42"/>
      <c r="B109" s="44" t="s">
        <v>37</v>
      </c>
      <c r="C109" s="44" t="s">
        <v>38</v>
      </c>
      <c r="D109" s="42" t="s">
        <v>15</v>
      </c>
      <c r="E109" s="42">
        <v>2</v>
      </c>
      <c r="F109" s="26">
        <f>80+54</f>
        <v>134</v>
      </c>
      <c r="G109" s="26"/>
      <c r="H109" s="39" t="s">
        <v>345</v>
      </c>
      <c r="I109" s="53" t="s">
        <v>392</v>
      </c>
      <c r="J109" s="457"/>
    </row>
    <row r="110" spans="1:10" x14ac:dyDescent="0.25">
      <c r="A110" s="42"/>
      <c r="B110" s="44" t="s">
        <v>54</v>
      </c>
      <c r="C110" s="44" t="s">
        <v>27</v>
      </c>
      <c r="D110" s="42" t="s">
        <v>15</v>
      </c>
      <c r="E110" s="42">
        <v>2</v>
      </c>
      <c r="F110" s="26">
        <v>320</v>
      </c>
      <c r="G110" s="26"/>
      <c r="H110" s="39" t="s">
        <v>168</v>
      </c>
      <c r="I110" s="44" t="s">
        <v>392</v>
      </c>
      <c r="J110" s="457" t="s">
        <v>401</v>
      </c>
    </row>
    <row r="111" spans="1:10" x14ac:dyDescent="0.25">
      <c r="A111" s="42"/>
      <c r="B111" s="44" t="s">
        <v>79</v>
      </c>
      <c r="C111" s="44" t="s">
        <v>36</v>
      </c>
      <c r="D111" s="42" t="s">
        <v>15</v>
      </c>
      <c r="E111" s="42">
        <v>2</v>
      </c>
      <c r="F111" s="26">
        <v>166</v>
      </c>
      <c r="G111" s="26"/>
      <c r="H111" s="39" t="s">
        <v>170</v>
      </c>
      <c r="I111" s="44" t="s">
        <v>392</v>
      </c>
      <c r="J111" s="457"/>
    </row>
    <row r="112" spans="1:10" x14ac:dyDescent="0.25">
      <c r="A112" s="42"/>
      <c r="B112" s="44"/>
      <c r="C112" s="44"/>
      <c r="D112" s="42"/>
      <c r="E112" s="42"/>
      <c r="F112" s="26"/>
      <c r="G112" s="26"/>
      <c r="H112" s="39"/>
      <c r="I112" s="44"/>
      <c r="J112" s="457"/>
    </row>
    <row r="113" spans="1:10" x14ac:dyDescent="0.25">
      <c r="A113" s="42"/>
      <c r="B113" s="44"/>
      <c r="C113" s="44"/>
      <c r="D113" s="42"/>
      <c r="E113" s="42"/>
      <c r="F113" s="26"/>
      <c r="G113" s="26"/>
      <c r="H113" s="39"/>
      <c r="I113" s="44"/>
      <c r="J113" s="457"/>
    </row>
    <row r="114" spans="1:10" x14ac:dyDescent="0.3">
      <c r="A114" s="13"/>
      <c r="B114" s="44"/>
      <c r="C114" s="46"/>
      <c r="D114" s="37"/>
      <c r="E114" s="37"/>
      <c r="F114" s="38"/>
      <c r="G114" s="14"/>
      <c r="H114" s="46"/>
      <c r="I114" s="143"/>
      <c r="J114" s="41"/>
    </row>
    <row r="115" spans="1:10" ht="24.6" x14ac:dyDescent="0.4">
      <c r="A115" s="504" t="s">
        <v>412</v>
      </c>
      <c r="B115" s="504"/>
      <c r="C115" s="504"/>
      <c r="D115" s="6"/>
      <c r="E115" s="7"/>
      <c r="F115" s="8"/>
      <c r="G115" s="9"/>
      <c r="H115" s="10"/>
      <c r="I115" s="9"/>
      <c r="J115" s="10"/>
    </row>
    <row r="116" spans="1:10" x14ac:dyDescent="0.3">
      <c r="A116" s="11"/>
      <c r="B116" s="12"/>
      <c r="C116" s="12"/>
      <c r="D116" s="13"/>
      <c r="E116" s="13"/>
      <c r="F116" s="14"/>
      <c r="G116" s="13"/>
      <c r="H116" s="15"/>
      <c r="I116" s="16" t="s">
        <v>0</v>
      </c>
      <c r="J116" s="17"/>
    </row>
    <row r="117" spans="1:10" ht="21" x14ac:dyDescent="0.4">
      <c r="A117" s="505" t="s">
        <v>402</v>
      </c>
      <c r="B117" s="505"/>
      <c r="C117" s="505"/>
      <c r="D117" s="13"/>
      <c r="E117" s="17"/>
      <c r="F117" s="18"/>
      <c r="G117" s="19"/>
      <c r="H117" s="20"/>
      <c r="I117" s="21">
        <f>SUM(F120:F122)</f>
        <v>577</v>
      </c>
      <c r="J117" s="22"/>
    </row>
    <row r="118" spans="1:10" ht="16.2" customHeight="1" x14ac:dyDescent="0.3">
      <c r="A118" s="461"/>
      <c r="B118" s="23" t="s">
        <v>2</v>
      </c>
      <c r="C118" s="23" t="s">
        <v>3</v>
      </c>
      <c r="D118" s="24" t="s">
        <v>4</v>
      </c>
      <c r="E118" s="25" t="s">
        <v>5</v>
      </c>
      <c r="F118" s="26" t="s">
        <v>6</v>
      </c>
      <c r="G118" s="24" t="s">
        <v>7</v>
      </c>
      <c r="H118" s="27" t="s">
        <v>8</v>
      </c>
      <c r="I118" s="23" t="s">
        <v>9</v>
      </c>
      <c r="J118" s="28" t="s">
        <v>10</v>
      </c>
    </row>
    <row r="119" spans="1:10" ht="18.600000000000001" customHeight="1" x14ac:dyDescent="0.3">
      <c r="A119" s="461"/>
      <c r="B119" s="29" t="s">
        <v>11</v>
      </c>
      <c r="C119" s="30"/>
      <c r="D119" s="30"/>
      <c r="E119" s="31"/>
      <c r="F119" s="32"/>
      <c r="G119" s="30"/>
      <c r="H119" s="31"/>
      <c r="I119" s="33"/>
      <c r="J119" s="34"/>
    </row>
    <row r="120" spans="1:10" x14ac:dyDescent="0.25">
      <c r="A120" s="42"/>
      <c r="B120" s="44" t="s">
        <v>83</v>
      </c>
      <c r="C120" s="39" t="s">
        <v>84</v>
      </c>
      <c r="D120" s="37" t="s">
        <v>30</v>
      </c>
      <c r="E120" s="37">
        <v>2</v>
      </c>
      <c r="F120" s="38">
        <v>83</v>
      </c>
      <c r="G120" s="14"/>
      <c r="H120" s="39" t="s">
        <v>145</v>
      </c>
      <c r="I120" s="43" t="s">
        <v>392</v>
      </c>
      <c r="J120" s="457"/>
    </row>
    <row r="121" spans="1:10" ht="30" x14ac:dyDescent="0.25">
      <c r="A121" s="42"/>
      <c r="B121" s="44" t="s">
        <v>81</v>
      </c>
      <c r="C121" s="46" t="s">
        <v>82</v>
      </c>
      <c r="D121" s="37" t="s">
        <v>30</v>
      </c>
      <c r="E121" s="37">
        <v>3</v>
      </c>
      <c r="F121" s="38">
        <f>(299+195)</f>
        <v>494</v>
      </c>
      <c r="G121" s="14"/>
      <c r="H121" s="46" t="s">
        <v>144</v>
      </c>
      <c r="I121" s="143" t="s">
        <v>392</v>
      </c>
      <c r="J121" s="457"/>
    </row>
    <row r="122" spans="1:10" x14ac:dyDescent="0.25">
      <c r="A122" s="42"/>
      <c r="B122" s="45"/>
      <c r="C122" s="39"/>
      <c r="D122" s="37"/>
      <c r="E122" s="37"/>
      <c r="F122" s="38"/>
      <c r="G122" s="14"/>
      <c r="H122" s="39"/>
      <c r="I122" s="143"/>
      <c r="J122" s="145"/>
    </row>
    <row r="123" spans="1:10" x14ac:dyDescent="0.3">
      <c r="A123" s="13"/>
      <c r="B123" s="44"/>
      <c r="C123" s="46"/>
      <c r="D123" s="37"/>
      <c r="E123" s="37"/>
      <c r="F123" s="38"/>
      <c r="G123" s="14"/>
      <c r="H123" s="46"/>
      <c r="I123" s="143"/>
      <c r="J123" s="41"/>
    </row>
    <row r="124" spans="1:10" ht="21" x14ac:dyDescent="0.4">
      <c r="A124" s="489" t="s">
        <v>403</v>
      </c>
      <c r="B124" s="489"/>
      <c r="C124" s="489"/>
      <c r="D124" s="13"/>
      <c r="E124" s="17"/>
      <c r="F124" s="462"/>
      <c r="G124" s="19"/>
      <c r="H124" s="48">
        <f>SUM(F127:F131)</f>
        <v>1402</v>
      </c>
      <c r="I124" s="14"/>
      <c r="J124" s="28"/>
    </row>
    <row r="125" spans="1:10" x14ac:dyDescent="0.3">
      <c r="A125" s="13"/>
      <c r="B125" s="23" t="s">
        <v>2</v>
      </c>
      <c r="C125" s="23" t="s">
        <v>3</v>
      </c>
      <c r="D125" s="24" t="s">
        <v>4</v>
      </c>
      <c r="E125" s="25" t="s">
        <v>5</v>
      </c>
      <c r="F125" s="26" t="s">
        <v>6</v>
      </c>
      <c r="G125" s="24" t="s">
        <v>7</v>
      </c>
      <c r="H125" s="27" t="s">
        <v>8</v>
      </c>
      <c r="I125" s="23" t="s">
        <v>9</v>
      </c>
      <c r="J125" s="28"/>
    </row>
    <row r="126" spans="1:10" x14ac:dyDescent="0.3">
      <c r="A126" s="13"/>
      <c r="B126" s="29" t="s">
        <v>11</v>
      </c>
      <c r="C126" s="30"/>
      <c r="D126" s="30"/>
      <c r="E126" s="31"/>
      <c r="F126" s="32"/>
      <c r="G126" s="49"/>
      <c r="H126" s="50"/>
      <c r="I126" s="33"/>
      <c r="J126" s="34"/>
    </row>
    <row r="127" spans="1:10" x14ac:dyDescent="0.3">
      <c r="A127" s="68"/>
      <c r="B127" s="79" t="s">
        <v>53</v>
      </c>
      <c r="C127" s="79" t="s">
        <v>12</v>
      </c>
      <c r="D127" s="68" t="s">
        <v>15</v>
      </c>
      <c r="E127" s="78">
        <v>2</v>
      </c>
      <c r="F127" s="26">
        <v>138</v>
      </c>
      <c r="G127" s="68" t="s">
        <v>112</v>
      </c>
      <c r="H127" s="43" t="s">
        <v>167</v>
      </c>
      <c r="I127" s="40" t="s">
        <v>392</v>
      </c>
      <c r="J127" s="87"/>
    </row>
    <row r="128" spans="1:10" x14ac:dyDescent="0.3">
      <c r="A128" s="68"/>
      <c r="B128" s="79" t="s">
        <v>89</v>
      </c>
      <c r="C128" s="79" t="s">
        <v>12</v>
      </c>
      <c r="D128" s="68" t="s">
        <v>15</v>
      </c>
      <c r="E128" s="78">
        <v>2</v>
      </c>
      <c r="F128" s="26">
        <v>124</v>
      </c>
      <c r="G128" s="68" t="s">
        <v>112</v>
      </c>
      <c r="H128" s="43" t="s">
        <v>175</v>
      </c>
      <c r="I128" s="40" t="s">
        <v>392</v>
      </c>
      <c r="J128" s="87"/>
    </row>
    <row r="129" spans="1:10" x14ac:dyDescent="0.3">
      <c r="A129" s="68"/>
      <c r="B129" s="44" t="s">
        <v>78</v>
      </c>
      <c r="C129" s="44" t="s">
        <v>45</v>
      </c>
      <c r="D129" s="42" t="s">
        <v>15</v>
      </c>
      <c r="E129" s="42">
        <v>2</v>
      </c>
      <c r="F129" s="26">
        <v>244</v>
      </c>
      <c r="G129" s="26"/>
      <c r="H129" s="39" t="s">
        <v>179</v>
      </c>
      <c r="I129" s="40" t="s">
        <v>392</v>
      </c>
      <c r="J129" s="87"/>
    </row>
    <row r="130" spans="1:10" x14ac:dyDescent="0.25">
      <c r="A130" s="42"/>
      <c r="B130" s="54" t="s">
        <v>92</v>
      </c>
      <c r="C130" s="110" t="s">
        <v>47</v>
      </c>
      <c r="D130" s="42" t="s">
        <v>15</v>
      </c>
      <c r="E130" s="42">
        <v>2</v>
      </c>
      <c r="F130" s="26">
        <v>80</v>
      </c>
      <c r="G130" s="26"/>
      <c r="H130" s="39" t="s">
        <v>154</v>
      </c>
      <c r="I130" s="44" t="s">
        <v>392</v>
      </c>
      <c r="J130" s="457"/>
    </row>
    <row r="131" spans="1:10" ht="41.4" customHeight="1" x14ac:dyDescent="0.25">
      <c r="A131" s="42"/>
      <c r="B131" s="481" t="s">
        <v>125</v>
      </c>
      <c r="C131" s="481" t="s">
        <v>95</v>
      </c>
      <c r="D131" s="482" t="s">
        <v>15</v>
      </c>
      <c r="E131" s="482">
        <v>2</v>
      </c>
      <c r="F131" s="483">
        <f>342+474</f>
        <v>816</v>
      </c>
      <c r="G131" s="484"/>
      <c r="H131" s="485" t="s">
        <v>126</v>
      </c>
      <c r="I131" s="143"/>
      <c r="J131" s="457" t="s">
        <v>433</v>
      </c>
    </row>
    <row r="132" spans="1:10" x14ac:dyDescent="0.3">
      <c r="A132" s="68"/>
      <c r="B132" s="79"/>
      <c r="C132" s="79"/>
      <c r="D132" s="68"/>
      <c r="E132" s="78"/>
      <c r="F132" s="26"/>
      <c r="G132" s="68"/>
      <c r="H132" s="43"/>
      <c r="I132" s="40"/>
      <c r="J132" s="87"/>
    </row>
    <row r="133" spans="1:10" ht="24.6" x14ac:dyDescent="0.4">
      <c r="A133" s="504" t="s">
        <v>413</v>
      </c>
      <c r="B133" s="504"/>
      <c r="C133" s="504"/>
      <c r="D133" s="6"/>
      <c r="E133" s="7"/>
      <c r="F133" s="8"/>
      <c r="G133" s="9"/>
      <c r="H133" s="10"/>
      <c r="I133" s="9"/>
      <c r="J133" s="10"/>
    </row>
    <row r="134" spans="1:10" x14ac:dyDescent="0.3">
      <c r="A134" s="11"/>
      <c r="B134" s="12"/>
      <c r="C134" s="12"/>
      <c r="D134" s="13"/>
      <c r="E134" s="13"/>
      <c r="F134" s="14"/>
      <c r="G134" s="13"/>
      <c r="H134" s="15"/>
      <c r="I134" s="16" t="s">
        <v>0</v>
      </c>
      <c r="J134" s="17"/>
    </row>
    <row r="135" spans="1:10" ht="21" x14ac:dyDescent="0.4">
      <c r="A135" s="505" t="s">
        <v>398</v>
      </c>
      <c r="B135" s="505"/>
      <c r="C135" s="505"/>
      <c r="D135" s="13"/>
      <c r="E135" s="17"/>
      <c r="F135" s="18"/>
      <c r="G135" s="19"/>
      <c r="H135" s="20"/>
      <c r="I135" s="21">
        <f>SUM(F138:F141)</f>
        <v>165</v>
      </c>
      <c r="J135" s="22"/>
    </row>
    <row r="136" spans="1:10" ht="16.2" customHeight="1" x14ac:dyDescent="0.3">
      <c r="A136" s="461"/>
      <c r="B136" s="23" t="s">
        <v>2</v>
      </c>
      <c r="C136" s="23" t="s">
        <v>3</v>
      </c>
      <c r="D136" s="24" t="s">
        <v>4</v>
      </c>
      <c r="E136" s="25" t="s">
        <v>5</v>
      </c>
      <c r="F136" s="26" t="s">
        <v>6</v>
      </c>
      <c r="G136" s="24" t="s">
        <v>7</v>
      </c>
      <c r="H136" s="27" t="s">
        <v>8</v>
      </c>
      <c r="I136" s="23" t="s">
        <v>9</v>
      </c>
      <c r="J136" s="28" t="s">
        <v>10</v>
      </c>
    </row>
    <row r="137" spans="1:10" ht="18.600000000000001" customHeight="1" x14ac:dyDescent="0.3">
      <c r="A137" s="461"/>
      <c r="B137" s="29" t="s">
        <v>11</v>
      </c>
      <c r="C137" s="30"/>
      <c r="D137" s="30"/>
      <c r="E137" s="31"/>
      <c r="F137" s="32"/>
      <c r="G137" s="30"/>
      <c r="H137" s="31"/>
      <c r="I137" s="33"/>
      <c r="J137" s="34"/>
    </row>
    <row r="138" spans="1:10" x14ac:dyDescent="0.3">
      <c r="A138" s="13"/>
      <c r="B138" s="44" t="s">
        <v>42</v>
      </c>
      <c r="C138" s="39" t="s">
        <v>18</v>
      </c>
      <c r="D138" s="37" t="s">
        <v>30</v>
      </c>
      <c r="E138" s="37">
        <v>3</v>
      </c>
      <c r="F138" s="38">
        <v>110</v>
      </c>
      <c r="G138" s="14"/>
      <c r="H138" s="39" t="s">
        <v>131</v>
      </c>
      <c r="I138" s="143" t="s">
        <v>392</v>
      </c>
      <c r="J138" s="41"/>
    </row>
    <row r="139" spans="1:10" x14ac:dyDescent="0.25">
      <c r="A139" s="42"/>
      <c r="B139" s="44" t="s">
        <v>28</v>
      </c>
      <c r="C139" s="39" t="s">
        <v>29</v>
      </c>
      <c r="D139" s="37" t="s">
        <v>30</v>
      </c>
      <c r="E139" s="37">
        <v>3</v>
      </c>
      <c r="F139" s="38">
        <v>55</v>
      </c>
      <c r="G139" s="14"/>
      <c r="H139" s="39" t="s">
        <v>129</v>
      </c>
      <c r="I139" s="143" t="s">
        <v>392</v>
      </c>
      <c r="J139" s="457"/>
    </row>
    <row r="140" spans="1:10" x14ac:dyDescent="0.25">
      <c r="A140" s="42"/>
      <c r="B140" s="44"/>
      <c r="C140" s="44"/>
      <c r="D140" s="42"/>
      <c r="E140" s="42"/>
      <c r="F140" s="38"/>
      <c r="G140" s="42"/>
      <c r="H140" s="54"/>
      <c r="I140" s="43"/>
      <c r="J140" s="457"/>
    </row>
    <row r="141" spans="1:10" x14ac:dyDescent="0.3">
      <c r="A141" s="13"/>
      <c r="B141" s="44"/>
      <c r="C141" s="46"/>
      <c r="D141" s="37"/>
      <c r="E141" s="37"/>
      <c r="F141" s="38"/>
      <c r="G141" s="14"/>
      <c r="H141" s="46"/>
      <c r="I141" s="143"/>
      <c r="J141" s="41"/>
    </row>
    <row r="142" spans="1:10" x14ac:dyDescent="0.3">
      <c r="A142" s="13"/>
      <c r="B142" s="44"/>
      <c r="C142" s="46"/>
      <c r="D142" s="37"/>
      <c r="E142" s="37"/>
      <c r="F142" s="38"/>
      <c r="G142" s="14"/>
      <c r="H142" s="46"/>
      <c r="I142" s="143"/>
      <c r="J142" s="41"/>
    </row>
    <row r="143" spans="1:10" ht="21" x14ac:dyDescent="0.4">
      <c r="A143" s="489" t="s">
        <v>400</v>
      </c>
      <c r="B143" s="489"/>
      <c r="C143" s="489"/>
      <c r="D143" s="13"/>
      <c r="E143" s="17"/>
      <c r="F143" s="462"/>
      <c r="G143" s="19"/>
      <c r="H143" s="48">
        <f>SUM(F146:F152)</f>
        <v>1195</v>
      </c>
      <c r="I143" s="14"/>
      <c r="J143" s="28"/>
    </row>
    <row r="144" spans="1:10" x14ac:dyDescent="0.3">
      <c r="A144" s="13"/>
      <c r="B144" s="23" t="s">
        <v>2</v>
      </c>
      <c r="C144" s="23" t="s">
        <v>3</v>
      </c>
      <c r="D144" s="24" t="s">
        <v>4</v>
      </c>
      <c r="E144" s="25" t="s">
        <v>5</v>
      </c>
      <c r="F144" s="26" t="s">
        <v>6</v>
      </c>
      <c r="G144" s="24" t="s">
        <v>7</v>
      </c>
      <c r="H144" s="27" t="s">
        <v>8</v>
      </c>
      <c r="I144" s="23" t="s">
        <v>9</v>
      </c>
      <c r="J144" s="28"/>
    </row>
    <row r="145" spans="1:10" x14ac:dyDescent="0.3">
      <c r="A145" s="13"/>
      <c r="B145" s="29" t="s">
        <v>11</v>
      </c>
      <c r="C145" s="30"/>
      <c r="D145" s="30"/>
      <c r="E145" s="31"/>
      <c r="F145" s="32"/>
      <c r="G145" s="49"/>
      <c r="H145" s="50"/>
      <c r="I145" s="33"/>
      <c r="J145" s="34"/>
    </row>
    <row r="146" spans="1:10" x14ac:dyDescent="0.25">
      <c r="A146" s="42"/>
      <c r="B146" s="44" t="s">
        <v>73</v>
      </c>
      <c r="C146" s="39" t="s">
        <v>12</v>
      </c>
      <c r="D146" s="42" t="s">
        <v>15</v>
      </c>
      <c r="E146" s="42">
        <v>2</v>
      </c>
      <c r="F146" s="38">
        <v>147</v>
      </c>
      <c r="G146" s="42" t="s">
        <v>404</v>
      </c>
      <c r="H146" s="39" t="s">
        <v>176</v>
      </c>
      <c r="I146" s="44" t="s">
        <v>392</v>
      </c>
      <c r="J146" s="457"/>
    </row>
    <row r="147" spans="1:10" x14ac:dyDescent="0.25">
      <c r="A147" s="42"/>
      <c r="B147" s="109" t="s">
        <v>24</v>
      </c>
      <c r="C147" s="109" t="s">
        <v>25</v>
      </c>
      <c r="D147" s="42" t="s">
        <v>15</v>
      </c>
      <c r="E147" s="42">
        <v>2</v>
      </c>
      <c r="F147" s="26">
        <v>120</v>
      </c>
      <c r="G147" s="26"/>
      <c r="H147" s="39" t="s">
        <v>157</v>
      </c>
      <c r="I147" s="44" t="s">
        <v>392</v>
      </c>
      <c r="J147" s="457"/>
    </row>
    <row r="148" spans="1:10" x14ac:dyDescent="0.25">
      <c r="A148" s="42"/>
      <c r="B148" s="109" t="s">
        <v>87</v>
      </c>
      <c r="C148" s="109" t="s">
        <v>32</v>
      </c>
      <c r="D148" s="42" t="s">
        <v>15</v>
      </c>
      <c r="E148" s="42">
        <v>2</v>
      </c>
      <c r="F148" s="26">
        <v>67</v>
      </c>
      <c r="G148" s="26"/>
      <c r="H148" s="39" t="s">
        <v>181</v>
      </c>
      <c r="I148" s="44" t="s">
        <v>392</v>
      </c>
      <c r="J148" s="457"/>
    </row>
    <row r="149" spans="1:10" ht="30" x14ac:dyDescent="0.25">
      <c r="A149" s="42"/>
      <c r="B149" s="110" t="s">
        <v>26</v>
      </c>
      <c r="C149" s="45" t="s">
        <v>27</v>
      </c>
      <c r="D149" s="42" t="s">
        <v>15</v>
      </c>
      <c r="E149" s="42">
        <v>2</v>
      </c>
      <c r="F149" s="26">
        <v>405</v>
      </c>
      <c r="G149" s="26"/>
      <c r="H149" s="46" t="s">
        <v>161</v>
      </c>
      <c r="I149" s="44" t="s">
        <v>392</v>
      </c>
      <c r="J149" s="457"/>
    </row>
    <row r="150" spans="1:10" x14ac:dyDescent="0.25">
      <c r="A150" s="42"/>
      <c r="B150" s="448" t="s">
        <v>72</v>
      </c>
      <c r="C150" s="449" t="s">
        <v>47</v>
      </c>
      <c r="D150" s="37" t="s">
        <v>15</v>
      </c>
      <c r="E150" s="37">
        <v>2</v>
      </c>
      <c r="F150" s="26">
        <v>147</v>
      </c>
      <c r="G150" s="26"/>
      <c r="H150" s="39" t="s">
        <v>175</v>
      </c>
      <c r="I150" s="44" t="s">
        <v>392</v>
      </c>
      <c r="J150" s="457"/>
    </row>
    <row r="151" spans="1:10" x14ac:dyDescent="0.25">
      <c r="A151" s="42"/>
      <c r="B151" s="44" t="s">
        <v>88</v>
      </c>
      <c r="C151" s="44" t="s">
        <v>45</v>
      </c>
      <c r="D151" s="42" t="s">
        <v>15</v>
      </c>
      <c r="E151" s="42">
        <v>2</v>
      </c>
      <c r="F151" s="26">
        <v>212</v>
      </c>
      <c r="G151" s="26"/>
      <c r="H151" s="39" t="s">
        <v>182</v>
      </c>
      <c r="I151" s="44" t="s">
        <v>392</v>
      </c>
      <c r="J151" s="457"/>
    </row>
    <row r="152" spans="1:10" x14ac:dyDescent="0.25">
      <c r="A152" s="478"/>
      <c r="B152" s="44" t="s">
        <v>85</v>
      </c>
      <c r="C152" s="44" t="s">
        <v>86</v>
      </c>
      <c r="D152" s="42" t="s">
        <v>15</v>
      </c>
      <c r="E152" s="42">
        <v>2</v>
      </c>
      <c r="F152" s="26">
        <v>97</v>
      </c>
      <c r="G152" s="26"/>
      <c r="H152" s="39" t="s">
        <v>180</v>
      </c>
      <c r="I152" s="44" t="s">
        <v>392</v>
      </c>
      <c r="J152" s="38"/>
    </row>
    <row r="153" spans="1:10" x14ac:dyDescent="0.3">
      <c r="A153" s="13"/>
      <c r="B153" s="44"/>
      <c r="C153" s="46"/>
      <c r="D153" s="37"/>
      <c r="E153" s="37"/>
      <c r="F153" s="38"/>
      <c r="G153" s="14"/>
      <c r="H153" s="46"/>
      <c r="I153" s="143"/>
      <c r="J153" s="41"/>
    </row>
    <row r="154" spans="1:10" x14ac:dyDescent="0.3">
      <c r="A154" s="13"/>
      <c r="B154" s="44"/>
      <c r="C154" s="46"/>
      <c r="D154" s="37"/>
      <c r="E154" s="37"/>
      <c r="F154" s="38"/>
      <c r="G154" s="14"/>
      <c r="H154" s="46"/>
      <c r="I154" s="143"/>
      <c r="J154" s="41"/>
    </row>
    <row r="155" spans="1:10" ht="24.6" x14ac:dyDescent="0.4">
      <c r="A155" s="504" t="s">
        <v>414</v>
      </c>
      <c r="B155" s="504"/>
      <c r="C155" s="504"/>
      <c r="D155" s="6"/>
      <c r="E155" s="7"/>
      <c r="F155" s="8"/>
      <c r="G155" s="9"/>
      <c r="H155" s="10"/>
      <c r="I155" s="9"/>
      <c r="J155" s="10"/>
    </row>
    <row r="156" spans="1:10" x14ac:dyDescent="0.3">
      <c r="A156" s="11"/>
      <c r="B156" s="12"/>
      <c r="C156" s="12"/>
      <c r="D156" s="13"/>
      <c r="E156" s="13"/>
      <c r="F156" s="14"/>
      <c r="G156" s="13"/>
      <c r="H156" s="15"/>
      <c r="I156" s="16" t="s">
        <v>0</v>
      </c>
      <c r="J156" s="17"/>
    </row>
    <row r="157" spans="1:10" ht="21" x14ac:dyDescent="0.4">
      <c r="A157" s="505" t="s">
        <v>398</v>
      </c>
      <c r="B157" s="505"/>
      <c r="C157" s="505"/>
      <c r="D157" s="13"/>
      <c r="E157" s="17"/>
      <c r="F157" s="18"/>
      <c r="G157" s="19"/>
      <c r="H157" s="20"/>
      <c r="I157" s="21">
        <f>SUM(F160:F164)</f>
        <v>952</v>
      </c>
      <c r="J157" s="22"/>
    </row>
    <row r="158" spans="1:10" x14ac:dyDescent="0.3">
      <c r="A158" s="13"/>
      <c r="B158" s="23" t="s">
        <v>2</v>
      </c>
      <c r="C158" s="23" t="s">
        <v>3</v>
      </c>
      <c r="D158" s="24" t="s">
        <v>4</v>
      </c>
      <c r="E158" s="25" t="s">
        <v>5</v>
      </c>
      <c r="F158" s="26" t="s">
        <v>6</v>
      </c>
      <c r="G158" s="24" t="s">
        <v>7</v>
      </c>
      <c r="H158" s="27" t="s">
        <v>8</v>
      </c>
      <c r="I158" s="23" t="s">
        <v>9</v>
      </c>
      <c r="J158" s="28" t="s">
        <v>10</v>
      </c>
    </row>
    <row r="159" spans="1:10" x14ac:dyDescent="0.3">
      <c r="A159" s="466"/>
      <c r="B159" s="467"/>
      <c r="C159" s="468"/>
      <c r="D159" s="468"/>
      <c r="E159" s="469"/>
      <c r="F159" s="470"/>
      <c r="G159" s="468"/>
      <c r="H159" s="469"/>
      <c r="I159" s="474"/>
      <c r="J159" s="475"/>
    </row>
    <row r="160" spans="1:10" x14ac:dyDescent="0.25">
      <c r="A160" s="42"/>
      <c r="B160" s="53" t="s">
        <v>41</v>
      </c>
      <c r="C160" s="79" t="s">
        <v>12</v>
      </c>
      <c r="D160" s="37" t="s">
        <v>30</v>
      </c>
      <c r="E160" s="37">
        <v>2</v>
      </c>
      <c r="F160" s="38">
        <v>112</v>
      </c>
      <c r="G160" s="37" t="s">
        <v>13</v>
      </c>
      <c r="H160" s="39" t="s">
        <v>131</v>
      </c>
      <c r="I160" s="53" t="s">
        <v>392</v>
      </c>
      <c r="J160" s="38"/>
    </row>
    <row r="161" spans="1:10" s="80" customFormat="1" x14ac:dyDescent="0.25">
      <c r="A161" s="42"/>
      <c r="B161" s="44" t="s">
        <v>76</v>
      </c>
      <c r="C161" s="44" t="s">
        <v>29</v>
      </c>
      <c r="D161" s="42" t="s">
        <v>30</v>
      </c>
      <c r="E161" s="42">
        <v>3</v>
      </c>
      <c r="F161" s="38">
        <v>63</v>
      </c>
      <c r="G161" s="14"/>
      <c r="H161" s="40" t="s">
        <v>142</v>
      </c>
      <c r="I161" s="40" t="s">
        <v>392</v>
      </c>
      <c r="J161" s="38"/>
    </row>
    <row r="162" spans="1:10" s="80" customFormat="1" ht="22.2" customHeight="1" x14ac:dyDescent="0.25">
      <c r="A162" s="42"/>
      <c r="B162" s="45" t="s">
        <v>98</v>
      </c>
      <c r="C162" s="45" t="s">
        <v>99</v>
      </c>
      <c r="D162" s="113" t="s">
        <v>4</v>
      </c>
      <c r="E162" s="113">
        <v>2</v>
      </c>
      <c r="F162" s="14">
        <v>324</v>
      </c>
      <c r="G162" s="37"/>
      <c r="H162" s="19" t="s">
        <v>121</v>
      </c>
      <c r="I162" s="499" t="s">
        <v>420</v>
      </c>
      <c r="J162" s="38"/>
    </row>
    <row r="163" spans="1:10" s="80" customFormat="1" ht="25.2" customHeight="1" x14ac:dyDescent="0.25">
      <c r="A163" s="42"/>
      <c r="B163" s="45" t="s">
        <v>100</v>
      </c>
      <c r="C163" s="45" t="s">
        <v>34</v>
      </c>
      <c r="D163" s="113" t="s">
        <v>4</v>
      </c>
      <c r="E163" s="113">
        <v>2</v>
      </c>
      <c r="F163" s="14">
        <v>222</v>
      </c>
      <c r="G163" s="37"/>
      <c r="H163" s="19" t="s">
        <v>101</v>
      </c>
      <c r="I163" s="506"/>
      <c r="J163" s="38"/>
    </row>
    <row r="164" spans="1:10" ht="26.4" customHeight="1" x14ac:dyDescent="0.25">
      <c r="A164" s="42"/>
      <c r="B164" s="45" t="s">
        <v>102</v>
      </c>
      <c r="C164" s="45" t="s">
        <v>40</v>
      </c>
      <c r="D164" s="113" t="s">
        <v>4</v>
      </c>
      <c r="E164" s="113">
        <v>2</v>
      </c>
      <c r="F164" s="14">
        <v>231</v>
      </c>
      <c r="G164" s="37"/>
      <c r="H164" s="19" t="s">
        <v>122</v>
      </c>
      <c r="I164" s="507"/>
      <c r="J164" s="38"/>
    </row>
    <row r="165" spans="1:10" x14ac:dyDescent="0.25">
      <c r="A165" s="42"/>
      <c r="B165" s="110"/>
      <c r="C165" s="110"/>
      <c r="D165" s="37"/>
      <c r="E165" s="37"/>
      <c r="F165" s="38"/>
      <c r="G165" s="37"/>
      <c r="H165" s="39"/>
      <c r="I165" s="40"/>
      <c r="J165" s="38"/>
    </row>
    <row r="166" spans="1:10" x14ac:dyDescent="0.3">
      <c r="A166" s="11"/>
      <c r="B166" s="12"/>
      <c r="C166" s="12"/>
      <c r="D166" s="13"/>
      <c r="E166" s="13"/>
      <c r="F166" s="14"/>
      <c r="G166" s="13"/>
      <c r="H166" s="47" t="s">
        <v>14</v>
      </c>
      <c r="I166" s="17"/>
      <c r="J166" s="17"/>
    </row>
    <row r="167" spans="1:10" ht="21" x14ac:dyDescent="0.4">
      <c r="A167" s="489" t="s">
        <v>405</v>
      </c>
      <c r="B167" s="489"/>
      <c r="C167" s="489"/>
      <c r="D167" s="13"/>
      <c r="E167" s="17"/>
      <c r="F167" s="462"/>
      <c r="G167" s="19"/>
      <c r="H167" s="48">
        <f>SUM(F170:F172)</f>
        <v>638</v>
      </c>
      <c r="I167" s="14"/>
      <c r="J167" s="28"/>
    </row>
    <row r="168" spans="1:10" x14ac:dyDescent="0.3">
      <c r="A168" s="13"/>
      <c r="B168" s="23" t="s">
        <v>2</v>
      </c>
      <c r="C168" s="23" t="s">
        <v>3</v>
      </c>
      <c r="D168" s="24" t="s">
        <v>4</v>
      </c>
      <c r="E168" s="25" t="s">
        <v>5</v>
      </c>
      <c r="F168" s="26" t="s">
        <v>6</v>
      </c>
      <c r="G168" s="24" t="s">
        <v>7</v>
      </c>
      <c r="H168" s="27" t="s">
        <v>8</v>
      </c>
      <c r="I168" s="23" t="s">
        <v>9</v>
      </c>
      <c r="J168" s="28"/>
    </row>
    <row r="169" spans="1:10" x14ac:dyDescent="0.3">
      <c r="A169" s="466"/>
      <c r="B169" s="467" t="s">
        <v>11</v>
      </c>
      <c r="C169" s="468"/>
      <c r="D169" s="468"/>
      <c r="E169" s="469"/>
      <c r="F169" s="470"/>
      <c r="G169" s="471"/>
      <c r="H169" s="472"/>
      <c r="I169" s="474"/>
      <c r="J169" s="475"/>
    </row>
    <row r="170" spans="1:10" x14ac:dyDescent="0.25">
      <c r="A170" s="42"/>
      <c r="B170" s="51" t="s">
        <v>69</v>
      </c>
      <c r="C170" s="52" t="s">
        <v>45</v>
      </c>
      <c r="D170" s="37" t="s">
        <v>15</v>
      </c>
      <c r="E170" s="37">
        <v>2</v>
      </c>
      <c r="F170" s="26">
        <v>63</v>
      </c>
      <c r="G170" s="26"/>
      <c r="H170" s="39" t="s">
        <v>173</v>
      </c>
      <c r="I170" s="44" t="s">
        <v>392</v>
      </c>
      <c r="J170" s="457"/>
    </row>
    <row r="171" spans="1:10" x14ac:dyDescent="0.25">
      <c r="A171" s="42"/>
      <c r="B171" s="51" t="s">
        <v>70</v>
      </c>
      <c r="C171" s="52" t="s">
        <v>34</v>
      </c>
      <c r="D171" s="37" t="s">
        <v>15</v>
      </c>
      <c r="E171" s="37">
        <v>2</v>
      </c>
      <c r="F171" s="26">
        <v>243</v>
      </c>
      <c r="G171" s="26"/>
      <c r="H171" s="39" t="s">
        <v>172</v>
      </c>
      <c r="I171" s="143" t="s">
        <v>392</v>
      </c>
      <c r="J171" s="457"/>
    </row>
    <row r="172" spans="1:10" x14ac:dyDescent="0.25">
      <c r="A172" s="42"/>
      <c r="B172" s="44" t="s">
        <v>75</v>
      </c>
      <c r="C172" s="44" t="s">
        <v>27</v>
      </c>
      <c r="D172" s="42" t="s">
        <v>15</v>
      </c>
      <c r="E172" s="42">
        <v>2</v>
      </c>
      <c r="F172" s="26">
        <v>332</v>
      </c>
      <c r="G172" s="26"/>
      <c r="H172" s="39" t="s">
        <v>178</v>
      </c>
      <c r="I172" s="44" t="s">
        <v>392</v>
      </c>
      <c r="J172" s="457"/>
    </row>
    <row r="173" spans="1:10" x14ac:dyDescent="0.25">
      <c r="A173" s="42"/>
      <c r="B173" s="39" t="s">
        <v>35</v>
      </c>
      <c r="C173" s="39" t="s">
        <v>36</v>
      </c>
      <c r="D173" s="37" t="s">
        <v>15</v>
      </c>
      <c r="E173" s="37">
        <v>2</v>
      </c>
      <c r="F173" s="26">
        <v>161</v>
      </c>
      <c r="G173" s="26"/>
      <c r="H173" s="39" t="s">
        <v>160</v>
      </c>
      <c r="I173" s="40" t="s">
        <v>392</v>
      </c>
      <c r="J173" s="38"/>
    </row>
    <row r="174" spans="1:10" x14ac:dyDescent="0.25">
      <c r="A174" s="42"/>
      <c r="B174" s="44" t="s">
        <v>46</v>
      </c>
      <c r="C174" s="44" t="s">
        <v>47</v>
      </c>
      <c r="D174" s="37" t="s">
        <v>15</v>
      </c>
      <c r="E174" s="37">
        <v>2</v>
      </c>
      <c r="F174" s="26">
        <v>92</v>
      </c>
      <c r="G174" s="68"/>
      <c r="H174" s="43" t="s">
        <v>163</v>
      </c>
      <c r="I174" s="40" t="s">
        <v>392</v>
      </c>
      <c r="J174" s="38"/>
    </row>
  </sheetData>
  <mergeCells count="28">
    <mergeCell ref="I162:I164"/>
    <mergeCell ref="A167:C167"/>
    <mergeCell ref="A4:C4"/>
    <mergeCell ref="A6:C6"/>
    <mergeCell ref="A13:C13"/>
    <mergeCell ref="A29:C29"/>
    <mergeCell ref="A124:C124"/>
    <mergeCell ref="A133:C133"/>
    <mergeCell ref="A135:C135"/>
    <mergeCell ref="A143:C143"/>
    <mergeCell ref="A155:C155"/>
    <mergeCell ref="A157:C157"/>
    <mergeCell ref="A83:C83"/>
    <mergeCell ref="A93:C93"/>
    <mergeCell ref="A95:C95"/>
    <mergeCell ref="A102:C102"/>
    <mergeCell ref="A117:C117"/>
    <mergeCell ref="A46:C46"/>
    <mergeCell ref="A54:C54"/>
    <mergeCell ref="A56:C56"/>
    <mergeCell ref="A63:C63"/>
    <mergeCell ref="A73:C73"/>
    <mergeCell ref="A75:C75"/>
    <mergeCell ref="A20:C20"/>
    <mergeCell ref="A22:C22"/>
    <mergeCell ref="A38:C38"/>
    <mergeCell ref="A40:C40"/>
    <mergeCell ref="A115:C115"/>
  </mergeCells>
  <dataValidations count="1">
    <dataValidation type="list" allowBlank="1" showInputMessage="1" showErrorMessage="1" sqref="WVQ983130 I65626 JE65626 TA65626 ACW65626 AMS65626 AWO65626 BGK65626 BQG65626 CAC65626 CJY65626 CTU65626 DDQ65626 DNM65626 DXI65626 EHE65626 ERA65626 FAW65626 FKS65626 FUO65626 GEK65626 GOG65626 GYC65626 HHY65626 HRU65626 IBQ65626 ILM65626 IVI65626 JFE65626 JPA65626 JYW65626 KIS65626 KSO65626 LCK65626 LMG65626 LWC65626 MFY65626 MPU65626 MZQ65626 NJM65626 NTI65626 ODE65626 ONA65626 OWW65626 PGS65626 PQO65626 QAK65626 QKG65626 QUC65626 RDY65626 RNU65626 RXQ65626 SHM65626 SRI65626 TBE65626 TLA65626 TUW65626 UES65626 UOO65626 UYK65626 VIG65626 VSC65626 WBY65626 WLU65626 WVQ65626 I131162 JE131162 TA131162 ACW131162 AMS131162 AWO131162 BGK131162 BQG131162 CAC131162 CJY131162 CTU131162 DDQ131162 DNM131162 DXI131162 EHE131162 ERA131162 FAW131162 FKS131162 FUO131162 GEK131162 GOG131162 GYC131162 HHY131162 HRU131162 IBQ131162 ILM131162 IVI131162 JFE131162 JPA131162 JYW131162 KIS131162 KSO131162 LCK131162 LMG131162 LWC131162 MFY131162 MPU131162 MZQ131162 NJM131162 NTI131162 ODE131162 ONA131162 OWW131162 PGS131162 PQO131162 QAK131162 QKG131162 QUC131162 RDY131162 RNU131162 RXQ131162 SHM131162 SRI131162 TBE131162 TLA131162 TUW131162 UES131162 UOO131162 UYK131162 VIG131162 VSC131162 WBY131162 WLU131162 WVQ131162 I196698 JE196698 TA196698 ACW196698 AMS196698 AWO196698 BGK196698 BQG196698 CAC196698 CJY196698 CTU196698 DDQ196698 DNM196698 DXI196698 EHE196698 ERA196698 FAW196698 FKS196698 FUO196698 GEK196698 GOG196698 GYC196698 HHY196698 HRU196698 IBQ196698 ILM196698 IVI196698 JFE196698 JPA196698 JYW196698 KIS196698 KSO196698 LCK196698 LMG196698 LWC196698 MFY196698 MPU196698 MZQ196698 NJM196698 NTI196698 ODE196698 ONA196698 OWW196698 PGS196698 PQO196698 QAK196698 QKG196698 QUC196698 RDY196698 RNU196698 RXQ196698 SHM196698 SRI196698 TBE196698 TLA196698 TUW196698 UES196698 UOO196698 UYK196698 VIG196698 VSC196698 WBY196698 WLU196698 WVQ196698 I262234 JE262234 TA262234 ACW262234 AMS262234 AWO262234 BGK262234 BQG262234 CAC262234 CJY262234 CTU262234 DDQ262234 DNM262234 DXI262234 EHE262234 ERA262234 FAW262234 FKS262234 FUO262234 GEK262234 GOG262234 GYC262234 HHY262234 HRU262234 IBQ262234 ILM262234 IVI262234 JFE262234 JPA262234 JYW262234 KIS262234 KSO262234 LCK262234 LMG262234 LWC262234 MFY262234 MPU262234 MZQ262234 NJM262234 NTI262234 ODE262234 ONA262234 OWW262234 PGS262234 PQO262234 QAK262234 QKG262234 QUC262234 RDY262234 RNU262234 RXQ262234 SHM262234 SRI262234 TBE262234 TLA262234 TUW262234 UES262234 UOO262234 UYK262234 VIG262234 VSC262234 WBY262234 WLU262234 WVQ262234 I327770 JE327770 TA327770 ACW327770 AMS327770 AWO327770 BGK327770 BQG327770 CAC327770 CJY327770 CTU327770 DDQ327770 DNM327770 DXI327770 EHE327770 ERA327770 FAW327770 FKS327770 FUO327770 GEK327770 GOG327770 GYC327770 HHY327770 HRU327770 IBQ327770 ILM327770 IVI327770 JFE327770 JPA327770 JYW327770 KIS327770 KSO327770 LCK327770 LMG327770 LWC327770 MFY327770 MPU327770 MZQ327770 NJM327770 NTI327770 ODE327770 ONA327770 OWW327770 PGS327770 PQO327770 QAK327770 QKG327770 QUC327770 RDY327770 RNU327770 RXQ327770 SHM327770 SRI327770 TBE327770 TLA327770 TUW327770 UES327770 UOO327770 UYK327770 VIG327770 VSC327770 WBY327770 WLU327770 WVQ327770 I393306 JE393306 TA393306 ACW393306 AMS393306 AWO393306 BGK393306 BQG393306 CAC393306 CJY393306 CTU393306 DDQ393306 DNM393306 DXI393306 EHE393306 ERA393306 FAW393306 FKS393306 FUO393306 GEK393306 GOG393306 GYC393306 HHY393306 HRU393306 IBQ393306 ILM393306 IVI393306 JFE393306 JPA393306 JYW393306 KIS393306 KSO393306 LCK393306 LMG393306 LWC393306 MFY393306 MPU393306 MZQ393306 NJM393306 NTI393306 ODE393306 ONA393306 OWW393306 PGS393306 PQO393306 QAK393306 QKG393306 QUC393306 RDY393306 RNU393306 RXQ393306 SHM393306 SRI393306 TBE393306 TLA393306 TUW393306 UES393306 UOO393306 UYK393306 VIG393306 VSC393306 WBY393306 WLU393306 WVQ393306 I458842 JE458842 TA458842 ACW458842 AMS458842 AWO458842 BGK458842 BQG458842 CAC458842 CJY458842 CTU458842 DDQ458842 DNM458842 DXI458842 EHE458842 ERA458842 FAW458842 FKS458842 FUO458842 GEK458842 GOG458842 GYC458842 HHY458842 HRU458842 IBQ458842 ILM458842 IVI458842 JFE458842 JPA458842 JYW458842 KIS458842 KSO458842 LCK458842 LMG458842 LWC458842 MFY458842 MPU458842 MZQ458842 NJM458842 NTI458842 ODE458842 ONA458842 OWW458842 PGS458842 PQO458842 QAK458842 QKG458842 QUC458842 RDY458842 RNU458842 RXQ458842 SHM458842 SRI458842 TBE458842 TLA458842 TUW458842 UES458842 UOO458842 UYK458842 VIG458842 VSC458842 WBY458842 WLU458842 WVQ458842 I524378 JE524378 TA524378 ACW524378 AMS524378 AWO524378 BGK524378 BQG524378 CAC524378 CJY524378 CTU524378 DDQ524378 DNM524378 DXI524378 EHE524378 ERA524378 FAW524378 FKS524378 FUO524378 GEK524378 GOG524378 GYC524378 HHY524378 HRU524378 IBQ524378 ILM524378 IVI524378 JFE524378 JPA524378 JYW524378 KIS524378 KSO524378 LCK524378 LMG524378 LWC524378 MFY524378 MPU524378 MZQ524378 NJM524378 NTI524378 ODE524378 ONA524378 OWW524378 PGS524378 PQO524378 QAK524378 QKG524378 QUC524378 RDY524378 RNU524378 RXQ524378 SHM524378 SRI524378 TBE524378 TLA524378 TUW524378 UES524378 UOO524378 UYK524378 VIG524378 VSC524378 WBY524378 WLU524378 WVQ524378 I589914 JE589914 TA589914 ACW589914 AMS589914 AWO589914 BGK589914 BQG589914 CAC589914 CJY589914 CTU589914 DDQ589914 DNM589914 DXI589914 EHE589914 ERA589914 FAW589914 FKS589914 FUO589914 GEK589914 GOG589914 GYC589914 HHY589914 HRU589914 IBQ589914 ILM589914 IVI589914 JFE589914 JPA589914 JYW589914 KIS589914 KSO589914 LCK589914 LMG589914 LWC589914 MFY589914 MPU589914 MZQ589914 NJM589914 NTI589914 ODE589914 ONA589914 OWW589914 PGS589914 PQO589914 QAK589914 QKG589914 QUC589914 RDY589914 RNU589914 RXQ589914 SHM589914 SRI589914 TBE589914 TLA589914 TUW589914 UES589914 UOO589914 UYK589914 VIG589914 VSC589914 WBY589914 WLU589914 WVQ589914 I655450 JE655450 TA655450 ACW655450 AMS655450 AWO655450 BGK655450 BQG655450 CAC655450 CJY655450 CTU655450 DDQ655450 DNM655450 DXI655450 EHE655450 ERA655450 FAW655450 FKS655450 FUO655450 GEK655450 GOG655450 GYC655450 HHY655450 HRU655450 IBQ655450 ILM655450 IVI655450 JFE655450 JPA655450 JYW655450 KIS655450 KSO655450 LCK655450 LMG655450 LWC655450 MFY655450 MPU655450 MZQ655450 NJM655450 NTI655450 ODE655450 ONA655450 OWW655450 PGS655450 PQO655450 QAK655450 QKG655450 QUC655450 RDY655450 RNU655450 RXQ655450 SHM655450 SRI655450 TBE655450 TLA655450 TUW655450 UES655450 UOO655450 UYK655450 VIG655450 VSC655450 WBY655450 WLU655450 WVQ655450 I720986 JE720986 TA720986 ACW720986 AMS720986 AWO720986 BGK720986 BQG720986 CAC720986 CJY720986 CTU720986 DDQ720986 DNM720986 DXI720986 EHE720986 ERA720986 FAW720986 FKS720986 FUO720986 GEK720986 GOG720986 GYC720986 HHY720986 HRU720986 IBQ720986 ILM720986 IVI720986 JFE720986 JPA720986 JYW720986 KIS720986 KSO720986 LCK720986 LMG720986 LWC720986 MFY720986 MPU720986 MZQ720986 NJM720986 NTI720986 ODE720986 ONA720986 OWW720986 PGS720986 PQO720986 QAK720986 QKG720986 QUC720986 RDY720986 RNU720986 RXQ720986 SHM720986 SRI720986 TBE720986 TLA720986 TUW720986 UES720986 UOO720986 UYK720986 VIG720986 VSC720986 WBY720986 WLU720986 WVQ720986 I786522 JE786522 TA786522 ACW786522 AMS786522 AWO786522 BGK786522 BQG786522 CAC786522 CJY786522 CTU786522 DDQ786522 DNM786522 DXI786522 EHE786522 ERA786522 FAW786522 FKS786522 FUO786522 GEK786522 GOG786522 GYC786522 HHY786522 HRU786522 IBQ786522 ILM786522 IVI786522 JFE786522 JPA786522 JYW786522 KIS786522 KSO786522 LCK786522 LMG786522 LWC786522 MFY786522 MPU786522 MZQ786522 NJM786522 NTI786522 ODE786522 ONA786522 OWW786522 PGS786522 PQO786522 QAK786522 QKG786522 QUC786522 RDY786522 RNU786522 RXQ786522 SHM786522 SRI786522 TBE786522 TLA786522 TUW786522 UES786522 UOO786522 UYK786522 VIG786522 VSC786522 WBY786522 WLU786522 WVQ786522 I852058 JE852058 TA852058 ACW852058 AMS852058 AWO852058 BGK852058 BQG852058 CAC852058 CJY852058 CTU852058 DDQ852058 DNM852058 DXI852058 EHE852058 ERA852058 FAW852058 FKS852058 FUO852058 GEK852058 GOG852058 GYC852058 HHY852058 HRU852058 IBQ852058 ILM852058 IVI852058 JFE852058 JPA852058 JYW852058 KIS852058 KSO852058 LCK852058 LMG852058 LWC852058 MFY852058 MPU852058 MZQ852058 NJM852058 NTI852058 ODE852058 ONA852058 OWW852058 PGS852058 PQO852058 QAK852058 QKG852058 QUC852058 RDY852058 RNU852058 RXQ852058 SHM852058 SRI852058 TBE852058 TLA852058 TUW852058 UES852058 UOO852058 UYK852058 VIG852058 VSC852058 WBY852058 WLU852058 WVQ852058 I917594 JE917594 TA917594 ACW917594 AMS917594 AWO917594 BGK917594 BQG917594 CAC917594 CJY917594 CTU917594 DDQ917594 DNM917594 DXI917594 EHE917594 ERA917594 FAW917594 FKS917594 FUO917594 GEK917594 GOG917594 GYC917594 HHY917594 HRU917594 IBQ917594 ILM917594 IVI917594 JFE917594 JPA917594 JYW917594 KIS917594 KSO917594 LCK917594 LMG917594 LWC917594 MFY917594 MPU917594 MZQ917594 NJM917594 NTI917594 ODE917594 ONA917594 OWW917594 PGS917594 PQO917594 QAK917594 QKG917594 QUC917594 RDY917594 RNU917594 RXQ917594 SHM917594 SRI917594 TBE917594 TLA917594 TUW917594 UES917594 UOO917594 UYK917594 VIG917594 VSC917594 WBY917594 WLU917594 WVQ917594 I983130 JE983130 TA983130 ACW983130 AMS983130 AWO983130 BGK983130 BQG983130 CAC983130 CJY983130 CTU983130 DDQ983130 DNM983130 DXI983130 EHE983130 ERA983130 FAW983130 FKS983130 FUO983130 GEK983130 GOG983130 GYC983130 HHY983130 HRU983130 IBQ983130 ILM983130 IVI983130 JFE983130 JPA983130 JYW983130 KIS983130 KSO983130 LCK983130 LMG983130 LWC983130 MFY983130 MPU983130 MZQ983130 NJM983130 NTI983130 ODE983130 ONA983130 OWW983130 PGS983130 PQO983130 QAK983130 QKG983130 QUC983130 RDY983130 RNU983130 RXQ983130 SHM983130 SRI983130 TBE983130 TLA983130 TUW983130 UES983130 UOO983130 UYK983130 VIG983130 VSC983130 WBY983130 WLU983130" xr:uid="{BEFEDD43-75A5-41F8-A8B9-6037138386F7}">
      <formula1>#REF!</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2E592-4EE8-4931-AB57-4BD4B99B8642}">
  <dimension ref="A1:J104"/>
  <sheetViews>
    <sheetView zoomScaleNormal="100" workbookViewId="0"/>
  </sheetViews>
  <sheetFormatPr defaultRowHeight="14.4" x14ac:dyDescent="0.3"/>
  <cols>
    <col min="1" max="1" width="13.5546875" customWidth="1"/>
    <col min="2" max="2" width="16.109375" customWidth="1"/>
    <col min="3" max="3" width="21.44140625" customWidth="1"/>
    <col min="4" max="4" width="29.6640625" customWidth="1"/>
    <col min="5" max="5" width="18" customWidth="1"/>
    <col min="6" max="6" width="8.88671875" style="151"/>
    <col min="7" max="7" width="21.33203125" bestFit="1" customWidth="1"/>
    <col min="8" max="8" width="19.77734375" customWidth="1"/>
    <col min="257" max="257" width="13.5546875" customWidth="1"/>
    <col min="258" max="258" width="16.109375" customWidth="1"/>
    <col min="259" max="259" width="21.44140625" customWidth="1"/>
    <col min="260" max="260" width="29.6640625" customWidth="1"/>
    <col min="261" max="261" width="18" customWidth="1"/>
    <col min="263" max="263" width="21.33203125" bestFit="1" customWidth="1"/>
    <col min="264" max="264" width="19.77734375" customWidth="1"/>
    <col min="513" max="513" width="13.5546875" customWidth="1"/>
    <col min="514" max="514" width="16.109375" customWidth="1"/>
    <col min="515" max="515" width="21.44140625" customWidth="1"/>
    <col min="516" max="516" width="29.6640625" customWidth="1"/>
    <col min="517" max="517" width="18" customWidth="1"/>
    <col min="519" max="519" width="21.33203125" bestFit="1" customWidth="1"/>
    <col min="520" max="520" width="19.77734375" customWidth="1"/>
    <col min="769" max="769" width="13.5546875" customWidth="1"/>
    <col min="770" max="770" width="16.109375" customWidth="1"/>
    <col min="771" max="771" width="21.44140625" customWidth="1"/>
    <col min="772" max="772" width="29.6640625" customWidth="1"/>
    <col min="773" max="773" width="18" customWidth="1"/>
    <col min="775" max="775" width="21.33203125" bestFit="1" customWidth="1"/>
    <col min="776" max="776" width="19.77734375" customWidth="1"/>
    <col min="1025" max="1025" width="13.5546875" customWidth="1"/>
    <col min="1026" max="1026" width="16.109375" customWidth="1"/>
    <col min="1027" max="1027" width="21.44140625" customWidth="1"/>
    <col min="1028" max="1028" width="29.6640625" customWidth="1"/>
    <col min="1029" max="1029" width="18" customWidth="1"/>
    <col min="1031" max="1031" width="21.33203125" bestFit="1" customWidth="1"/>
    <col min="1032" max="1032" width="19.77734375" customWidth="1"/>
    <col min="1281" max="1281" width="13.5546875" customWidth="1"/>
    <col min="1282" max="1282" width="16.109375" customWidth="1"/>
    <col min="1283" max="1283" width="21.44140625" customWidth="1"/>
    <col min="1284" max="1284" width="29.6640625" customWidth="1"/>
    <col min="1285" max="1285" width="18" customWidth="1"/>
    <col min="1287" max="1287" width="21.33203125" bestFit="1" customWidth="1"/>
    <col min="1288" max="1288" width="19.77734375" customWidth="1"/>
    <col min="1537" max="1537" width="13.5546875" customWidth="1"/>
    <col min="1538" max="1538" width="16.109375" customWidth="1"/>
    <col min="1539" max="1539" width="21.44140625" customWidth="1"/>
    <col min="1540" max="1540" width="29.6640625" customWidth="1"/>
    <col min="1541" max="1541" width="18" customWidth="1"/>
    <col min="1543" max="1543" width="21.33203125" bestFit="1" customWidth="1"/>
    <col min="1544" max="1544" width="19.77734375" customWidth="1"/>
    <col min="1793" max="1793" width="13.5546875" customWidth="1"/>
    <col min="1794" max="1794" width="16.109375" customWidth="1"/>
    <col min="1795" max="1795" width="21.44140625" customWidth="1"/>
    <col min="1796" max="1796" width="29.6640625" customWidth="1"/>
    <col min="1797" max="1797" width="18" customWidth="1"/>
    <col min="1799" max="1799" width="21.33203125" bestFit="1" customWidth="1"/>
    <col min="1800" max="1800" width="19.77734375" customWidth="1"/>
    <col min="2049" max="2049" width="13.5546875" customWidth="1"/>
    <col min="2050" max="2050" width="16.109375" customWidth="1"/>
    <col min="2051" max="2051" width="21.44140625" customWidth="1"/>
    <col min="2052" max="2052" width="29.6640625" customWidth="1"/>
    <col min="2053" max="2053" width="18" customWidth="1"/>
    <col min="2055" max="2055" width="21.33203125" bestFit="1" customWidth="1"/>
    <col min="2056" max="2056" width="19.77734375" customWidth="1"/>
    <col min="2305" max="2305" width="13.5546875" customWidth="1"/>
    <col min="2306" max="2306" width="16.109375" customWidth="1"/>
    <col min="2307" max="2307" width="21.44140625" customWidth="1"/>
    <col min="2308" max="2308" width="29.6640625" customWidth="1"/>
    <col min="2309" max="2309" width="18" customWidth="1"/>
    <col min="2311" max="2311" width="21.33203125" bestFit="1" customWidth="1"/>
    <col min="2312" max="2312" width="19.77734375" customWidth="1"/>
    <col min="2561" max="2561" width="13.5546875" customWidth="1"/>
    <col min="2562" max="2562" width="16.109375" customWidth="1"/>
    <col min="2563" max="2563" width="21.44140625" customWidth="1"/>
    <col min="2564" max="2564" width="29.6640625" customWidth="1"/>
    <col min="2565" max="2565" width="18" customWidth="1"/>
    <col min="2567" max="2567" width="21.33203125" bestFit="1" customWidth="1"/>
    <col min="2568" max="2568" width="19.77734375" customWidth="1"/>
    <col min="2817" max="2817" width="13.5546875" customWidth="1"/>
    <col min="2818" max="2818" width="16.109375" customWidth="1"/>
    <col min="2819" max="2819" width="21.44140625" customWidth="1"/>
    <col min="2820" max="2820" width="29.6640625" customWidth="1"/>
    <col min="2821" max="2821" width="18" customWidth="1"/>
    <col min="2823" max="2823" width="21.33203125" bestFit="1" customWidth="1"/>
    <col min="2824" max="2824" width="19.77734375" customWidth="1"/>
    <col min="3073" max="3073" width="13.5546875" customWidth="1"/>
    <col min="3074" max="3074" width="16.109375" customWidth="1"/>
    <col min="3075" max="3075" width="21.44140625" customWidth="1"/>
    <col min="3076" max="3076" width="29.6640625" customWidth="1"/>
    <col min="3077" max="3077" width="18" customWidth="1"/>
    <col min="3079" max="3079" width="21.33203125" bestFit="1" customWidth="1"/>
    <col min="3080" max="3080" width="19.77734375" customWidth="1"/>
    <col min="3329" max="3329" width="13.5546875" customWidth="1"/>
    <col min="3330" max="3330" width="16.109375" customWidth="1"/>
    <col min="3331" max="3331" width="21.44140625" customWidth="1"/>
    <col min="3332" max="3332" width="29.6640625" customWidth="1"/>
    <col min="3333" max="3333" width="18" customWidth="1"/>
    <col min="3335" max="3335" width="21.33203125" bestFit="1" customWidth="1"/>
    <col min="3336" max="3336" width="19.77734375" customWidth="1"/>
    <col min="3585" max="3585" width="13.5546875" customWidth="1"/>
    <col min="3586" max="3586" width="16.109375" customWidth="1"/>
    <col min="3587" max="3587" width="21.44140625" customWidth="1"/>
    <col min="3588" max="3588" width="29.6640625" customWidth="1"/>
    <col min="3589" max="3589" width="18" customWidth="1"/>
    <col min="3591" max="3591" width="21.33203125" bestFit="1" customWidth="1"/>
    <col min="3592" max="3592" width="19.77734375" customWidth="1"/>
    <col min="3841" max="3841" width="13.5546875" customWidth="1"/>
    <col min="3842" max="3842" width="16.109375" customWidth="1"/>
    <col min="3843" max="3843" width="21.44140625" customWidth="1"/>
    <col min="3844" max="3844" width="29.6640625" customWidth="1"/>
    <col min="3845" max="3845" width="18" customWidth="1"/>
    <col min="3847" max="3847" width="21.33203125" bestFit="1" customWidth="1"/>
    <col min="3848" max="3848" width="19.77734375" customWidth="1"/>
    <col min="4097" max="4097" width="13.5546875" customWidth="1"/>
    <col min="4098" max="4098" width="16.109375" customWidth="1"/>
    <col min="4099" max="4099" width="21.44140625" customWidth="1"/>
    <col min="4100" max="4100" width="29.6640625" customWidth="1"/>
    <col min="4101" max="4101" width="18" customWidth="1"/>
    <col min="4103" max="4103" width="21.33203125" bestFit="1" customWidth="1"/>
    <col min="4104" max="4104" width="19.77734375" customWidth="1"/>
    <col min="4353" max="4353" width="13.5546875" customWidth="1"/>
    <col min="4354" max="4354" width="16.109375" customWidth="1"/>
    <col min="4355" max="4355" width="21.44140625" customWidth="1"/>
    <col min="4356" max="4356" width="29.6640625" customWidth="1"/>
    <col min="4357" max="4357" width="18" customWidth="1"/>
    <col min="4359" max="4359" width="21.33203125" bestFit="1" customWidth="1"/>
    <col min="4360" max="4360" width="19.77734375" customWidth="1"/>
    <col min="4609" max="4609" width="13.5546875" customWidth="1"/>
    <col min="4610" max="4610" width="16.109375" customWidth="1"/>
    <col min="4611" max="4611" width="21.44140625" customWidth="1"/>
    <col min="4612" max="4612" width="29.6640625" customWidth="1"/>
    <col min="4613" max="4613" width="18" customWidth="1"/>
    <col min="4615" max="4615" width="21.33203125" bestFit="1" customWidth="1"/>
    <col min="4616" max="4616" width="19.77734375" customWidth="1"/>
    <col min="4865" max="4865" width="13.5546875" customWidth="1"/>
    <col min="4866" max="4866" width="16.109375" customWidth="1"/>
    <col min="4867" max="4867" width="21.44140625" customWidth="1"/>
    <col min="4868" max="4868" width="29.6640625" customWidth="1"/>
    <col min="4869" max="4869" width="18" customWidth="1"/>
    <col min="4871" max="4871" width="21.33203125" bestFit="1" customWidth="1"/>
    <col min="4872" max="4872" width="19.77734375" customWidth="1"/>
    <col min="5121" max="5121" width="13.5546875" customWidth="1"/>
    <col min="5122" max="5122" width="16.109375" customWidth="1"/>
    <col min="5123" max="5123" width="21.44140625" customWidth="1"/>
    <col min="5124" max="5124" width="29.6640625" customWidth="1"/>
    <col min="5125" max="5125" width="18" customWidth="1"/>
    <col min="5127" max="5127" width="21.33203125" bestFit="1" customWidth="1"/>
    <col min="5128" max="5128" width="19.77734375" customWidth="1"/>
    <col min="5377" max="5377" width="13.5546875" customWidth="1"/>
    <col min="5378" max="5378" width="16.109375" customWidth="1"/>
    <col min="5379" max="5379" width="21.44140625" customWidth="1"/>
    <col min="5380" max="5380" width="29.6640625" customWidth="1"/>
    <col min="5381" max="5381" width="18" customWidth="1"/>
    <col min="5383" max="5383" width="21.33203125" bestFit="1" customWidth="1"/>
    <col min="5384" max="5384" width="19.77734375" customWidth="1"/>
    <col min="5633" max="5633" width="13.5546875" customWidth="1"/>
    <col min="5634" max="5634" width="16.109375" customWidth="1"/>
    <col min="5635" max="5635" width="21.44140625" customWidth="1"/>
    <col min="5636" max="5636" width="29.6640625" customWidth="1"/>
    <col min="5637" max="5637" width="18" customWidth="1"/>
    <col min="5639" max="5639" width="21.33203125" bestFit="1" customWidth="1"/>
    <col min="5640" max="5640" width="19.77734375" customWidth="1"/>
    <col min="5889" max="5889" width="13.5546875" customWidth="1"/>
    <col min="5890" max="5890" width="16.109375" customWidth="1"/>
    <col min="5891" max="5891" width="21.44140625" customWidth="1"/>
    <col min="5892" max="5892" width="29.6640625" customWidth="1"/>
    <col min="5893" max="5893" width="18" customWidth="1"/>
    <col min="5895" max="5895" width="21.33203125" bestFit="1" customWidth="1"/>
    <col min="5896" max="5896" width="19.77734375" customWidth="1"/>
    <col min="6145" max="6145" width="13.5546875" customWidth="1"/>
    <col min="6146" max="6146" width="16.109375" customWidth="1"/>
    <col min="6147" max="6147" width="21.44140625" customWidth="1"/>
    <col min="6148" max="6148" width="29.6640625" customWidth="1"/>
    <col min="6149" max="6149" width="18" customWidth="1"/>
    <col min="6151" max="6151" width="21.33203125" bestFit="1" customWidth="1"/>
    <col min="6152" max="6152" width="19.77734375" customWidth="1"/>
    <col min="6401" max="6401" width="13.5546875" customWidth="1"/>
    <col min="6402" max="6402" width="16.109375" customWidth="1"/>
    <col min="6403" max="6403" width="21.44140625" customWidth="1"/>
    <col min="6404" max="6404" width="29.6640625" customWidth="1"/>
    <col min="6405" max="6405" width="18" customWidth="1"/>
    <col min="6407" max="6407" width="21.33203125" bestFit="1" customWidth="1"/>
    <col min="6408" max="6408" width="19.77734375" customWidth="1"/>
    <col min="6657" max="6657" width="13.5546875" customWidth="1"/>
    <col min="6658" max="6658" width="16.109375" customWidth="1"/>
    <col min="6659" max="6659" width="21.44140625" customWidth="1"/>
    <col min="6660" max="6660" width="29.6640625" customWidth="1"/>
    <col min="6661" max="6661" width="18" customWidth="1"/>
    <col min="6663" max="6663" width="21.33203125" bestFit="1" customWidth="1"/>
    <col min="6664" max="6664" width="19.77734375" customWidth="1"/>
    <col min="6913" max="6913" width="13.5546875" customWidth="1"/>
    <col min="6914" max="6914" width="16.109375" customWidth="1"/>
    <col min="6915" max="6915" width="21.44140625" customWidth="1"/>
    <col min="6916" max="6916" width="29.6640625" customWidth="1"/>
    <col min="6917" max="6917" width="18" customWidth="1"/>
    <col min="6919" max="6919" width="21.33203125" bestFit="1" customWidth="1"/>
    <col min="6920" max="6920" width="19.77734375" customWidth="1"/>
    <col min="7169" max="7169" width="13.5546875" customWidth="1"/>
    <col min="7170" max="7170" width="16.109375" customWidth="1"/>
    <col min="7171" max="7171" width="21.44140625" customWidth="1"/>
    <col min="7172" max="7172" width="29.6640625" customWidth="1"/>
    <col min="7173" max="7173" width="18" customWidth="1"/>
    <col min="7175" max="7175" width="21.33203125" bestFit="1" customWidth="1"/>
    <col min="7176" max="7176" width="19.77734375" customWidth="1"/>
    <col min="7425" max="7425" width="13.5546875" customWidth="1"/>
    <col min="7426" max="7426" width="16.109375" customWidth="1"/>
    <col min="7427" max="7427" width="21.44140625" customWidth="1"/>
    <col min="7428" max="7428" width="29.6640625" customWidth="1"/>
    <col min="7429" max="7429" width="18" customWidth="1"/>
    <col min="7431" max="7431" width="21.33203125" bestFit="1" customWidth="1"/>
    <col min="7432" max="7432" width="19.77734375" customWidth="1"/>
    <col min="7681" max="7681" width="13.5546875" customWidth="1"/>
    <col min="7682" max="7682" width="16.109375" customWidth="1"/>
    <col min="7683" max="7683" width="21.44140625" customWidth="1"/>
    <col min="7684" max="7684" width="29.6640625" customWidth="1"/>
    <col min="7685" max="7685" width="18" customWidth="1"/>
    <col min="7687" max="7687" width="21.33203125" bestFit="1" customWidth="1"/>
    <col min="7688" max="7688" width="19.77734375" customWidth="1"/>
    <col min="7937" max="7937" width="13.5546875" customWidth="1"/>
    <col min="7938" max="7938" width="16.109375" customWidth="1"/>
    <col min="7939" max="7939" width="21.44140625" customWidth="1"/>
    <col min="7940" max="7940" width="29.6640625" customWidth="1"/>
    <col min="7941" max="7941" width="18" customWidth="1"/>
    <col min="7943" max="7943" width="21.33203125" bestFit="1" customWidth="1"/>
    <col min="7944" max="7944" width="19.77734375" customWidth="1"/>
    <col min="8193" max="8193" width="13.5546875" customWidth="1"/>
    <col min="8194" max="8194" width="16.109375" customWidth="1"/>
    <col min="8195" max="8195" width="21.44140625" customWidth="1"/>
    <col min="8196" max="8196" width="29.6640625" customWidth="1"/>
    <col min="8197" max="8197" width="18" customWidth="1"/>
    <col min="8199" max="8199" width="21.33203125" bestFit="1" customWidth="1"/>
    <col min="8200" max="8200" width="19.77734375" customWidth="1"/>
    <col min="8449" max="8449" width="13.5546875" customWidth="1"/>
    <col min="8450" max="8450" width="16.109375" customWidth="1"/>
    <col min="8451" max="8451" width="21.44140625" customWidth="1"/>
    <col min="8452" max="8452" width="29.6640625" customWidth="1"/>
    <col min="8453" max="8453" width="18" customWidth="1"/>
    <col min="8455" max="8455" width="21.33203125" bestFit="1" customWidth="1"/>
    <col min="8456" max="8456" width="19.77734375" customWidth="1"/>
    <col min="8705" max="8705" width="13.5546875" customWidth="1"/>
    <col min="8706" max="8706" width="16.109375" customWidth="1"/>
    <col min="8707" max="8707" width="21.44140625" customWidth="1"/>
    <col min="8708" max="8708" width="29.6640625" customWidth="1"/>
    <col min="8709" max="8709" width="18" customWidth="1"/>
    <col min="8711" max="8711" width="21.33203125" bestFit="1" customWidth="1"/>
    <col min="8712" max="8712" width="19.77734375" customWidth="1"/>
    <col min="8961" max="8961" width="13.5546875" customWidth="1"/>
    <col min="8962" max="8962" width="16.109375" customWidth="1"/>
    <col min="8963" max="8963" width="21.44140625" customWidth="1"/>
    <col min="8964" max="8964" width="29.6640625" customWidth="1"/>
    <col min="8965" max="8965" width="18" customWidth="1"/>
    <col min="8967" max="8967" width="21.33203125" bestFit="1" customWidth="1"/>
    <col min="8968" max="8968" width="19.77734375" customWidth="1"/>
    <col min="9217" max="9217" width="13.5546875" customWidth="1"/>
    <col min="9218" max="9218" width="16.109375" customWidth="1"/>
    <col min="9219" max="9219" width="21.44140625" customWidth="1"/>
    <col min="9220" max="9220" width="29.6640625" customWidth="1"/>
    <col min="9221" max="9221" width="18" customWidth="1"/>
    <col min="9223" max="9223" width="21.33203125" bestFit="1" customWidth="1"/>
    <col min="9224" max="9224" width="19.77734375" customWidth="1"/>
    <col min="9473" max="9473" width="13.5546875" customWidth="1"/>
    <col min="9474" max="9474" width="16.109375" customWidth="1"/>
    <col min="9475" max="9475" width="21.44140625" customWidth="1"/>
    <col min="9476" max="9476" width="29.6640625" customWidth="1"/>
    <col min="9477" max="9477" width="18" customWidth="1"/>
    <col min="9479" max="9479" width="21.33203125" bestFit="1" customWidth="1"/>
    <col min="9480" max="9480" width="19.77734375" customWidth="1"/>
    <col min="9729" max="9729" width="13.5546875" customWidth="1"/>
    <col min="9730" max="9730" width="16.109375" customWidth="1"/>
    <col min="9731" max="9731" width="21.44140625" customWidth="1"/>
    <col min="9732" max="9732" width="29.6640625" customWidth="1"/>
    <col min="9733" max="9733" width="18" customWidth="1"/>
    <col min="9735" max="9735" width="21.33203125" bestFit="1" customWidth="1"/>
    <col min="9736" max="9736" width="19.77734375" customWidth="1"/>
    <col min="9985" max="9985" width="13.5546875" customWidth="1"/>
    <col min="9986" max="9986" width="16.109375" customWidth="1"/>
    <col min="9987" max="9987" width="21.44140625" customWidth="1"/>
    <col min="9988" max="9988" width="29.6640625" customWidth="1"/>
    <col min="9989" max="9989" width="18" customWidth="1"/>
    <col min="9991" max="9991" width="21.33203125" bestFit="1" customWidth="1"/>
    <col min="9992" max="9992" width="19.77734375" customWidth="1"/>
    <col min="10241" max="10241" width="13.5546875" customWidth="1"/>
    <col min="10242" max="10242" width="16.109375" customWidth="1"/>
    <col min="10243" max="10243" width="21.44140625" customWidth="1"/>
    <col min="10244" max="10244" width="29.6640625" customWidth="1"/>
    <col min="10245" max="10245" width="18" customWidth="1"/>
    <col min="10247" max="10247" width="21.33203125" bestFit="1" customWidth="1"/>
    <col min="10248" max="10248" width="19.77734375" customWidth="1"/>
    <col min="10497" max="10497" width="13.5546875" customWidth="1"/>
    <col min="10498" max="10498" width="16.109375" customWidth="1"/>
    <col min="10499" max="10499" width="21.44140625" customWidth="1"/>
    <col min="10500" max="10500" width="29.6640625" customWidth="1"/>
    <col min="10501" max="10501" width="18" customWidth="1"/>
    <col min="10503" max="10503" width="21.33203125" bestFit="1" customWidth="1"/>
    <col min="10504" max="10504" width="19.77734375" customWidth="1"/>
    <col min="10753" max="10753" width="13.5546875" customWidth="1"/>
    <col min="10754" max="10754" width="16.109375" customWidth="1"/>
    <col min="10755" max="10755" width="21.44140625" customWidth="1"/>
    <col min="10756" max="10756" width="29.6640625" customWidth="1"/>
    <col min="10757" max="10757" width="18" customWidth="1"/>
    <col min="10759" max="10759" width="21.33203125" bestFit="1" customWidth="1"/>
    <col min="10760" max="10760" width="19.77734375" customWidth="1"/>
    <col min="11009" max="11009" width="13.5546875" customWidth="1"/>
    <col min="11010" max="11010" width="16.109375" customWidth="1"/>
    <col min="11011" max="11011" width="21.44140625" customWidth="1"/>
    <col min="11012" max="11012" width="29.6640625" customWidth="1"/>
    <col min="11013" max="11013" width="18" customWidth="1"/>
    <col min="11015" max="11015" width="21.33203125" bestFit="1" customWidth="1"/>
    <col min="11016" max="11016" width="19.77734375" customWidth="1"/>
    <col min="11265" max="11265" width="13.5546875" customWidth="1"/>
    <col min="11266" max="11266" width="16.109375" customWidth="1"/>
    <col min="11267" max="11267" width="21.44140625" customWidth="1"/>
    <col min="11268" max="11268" width="29.6640625" customWidth="1"/>
    <col min="11269" max="11269" width="18" customWidth="1"/>
    <col min="11271" max="11271" width="21.33203125" bestFit="1" customWidth="1"/>
    <col min="11272" max="11272" width="19.77734375" customWidth="1"/>
    <col min="11521" max="11521" width="13.5546875" customWidth="1"/>
    <col min="11522" max="11522" width="16.109375" customWidth="1"/>
    <col min="11523" max="11523" width="21.44140625" customWidth="1"/>
    <col min="11524" max="11524" width="29.6640625" customWidth="1"/>
    <col min="11525" max="11525" width="18" customWidth="1"/>
    <col min="11527" max="11527" width="21.33203125" bestFit="1" customWidth="1"/>
    <col min="11528" max="11528" width="19.77734375" customWidth="1"/>
    <col min="11777" max="11777" width="13.5546875" customWidth="1"/>
    <col min="11778" max="11778" width="16.109375" customWidth="1"/>
    <col min="11779" max="11779" width="21.44140625" customWidth="1"/>
    <col min="11780" max="11780" width="29.6640625" customWidth="1"/>
    <col min="11781" max="11781" width="18" customWidth="1"/>
    <col min="11783" max="11783" width="21.33203125" bestFit="1" customWidth="1"/>
    <col min="11784" max="11784" width="19.77734375" customWidth="1"/>
    <col min="12033" max="12033" width="13.5546875" customWidth="1"/>
    <col min="12034" max="12034" width="16.109375" customWidth="1"/>
    <col min="12035" max="12035" width="21.44140625" customWidth="1"/>
    <col min="12036" max="12036" width="29.6640625" customWidth="1"/>
    <col min="12037" max="12037" width="18" customWidth="1"/>
    <col min="12039" max="12039" width="21.33203125" bestFit="1" customWidth="1"/>
    <col min="12040" max="12040" width="19.77734375" customWidth="1"/>
    <col min="12289" max="12289" width="13.5546875" customWidth="1"/>
    <col min="12290" max="12290" width="16.109375" customWidth="1"/>
    <col min="12291" max="12291" width="21.44140625" customWidth="1"/>
    <col min="12292" max="12292" width="29.6640625" customWidth="1"/>
    <col min="12293" max="12293" width="18" customWidth="1"/>
    <col min="12295" max="12295" width="21.33203125" bestFit="1" customWidth="1"/>
    <col min="12296" max="12296" width="19.77734375" customWidth="1"/>
    <col min="12545" max="12545" width="13.5546875" customWidth="1"/>
    <col min="12546" max="12546" width="16.109375" customWidth="1"/>
    <col min="12547" max="12547" width="21.44140625" customWidth="1"/>
    <col min="12548" max="12548" width="29.6640625" customWidth="1"/>
    <col min="12549" max="12549" width="18" customWidth="1"/>
    <col min="12551" max="12551" width="21.33203125" bestFit="1" customWidth="1"/>
    <col min="12552" max="12552" width="19.77734375" customWidth="1"/>
    <col min="12801" max="12801" width="13.5546875" customWidth="1"/>
    <col min="12802" max="12802" width="16.109375" customWidth="1"/>
    <col min="12803" max="12803" width="21.44140625" customWidth="1"/>
    <col min="12804" max="12804" width="29.6640625" customWidth="1"/>
    <col min="12805" max="12805" width="18" customWidth="1"/>
    <col min="12807" max="12807" width="21.33203125" bestFit="1" customWidth="1"/>
    <col min="12808" max="12808" width="19.77734375" customWidth="1"/>
    <col min="13057" max="13057" width="13.5546875" customWidth="1"/>
    <col min="13058" max="13058" width="16.109375" customWidth="1"/>
    <col min="13059" max="13059" width="21.44140625" customWidth="1"/>
    <col min="13060" max="13060" width="29.6640625" customWidth="1"/>
    <col min="13061" max="13061" width="18" customWidth="1"/>
    <col min="13063" max="13063" width="21.33203125" bestFit="1" customWidth="1"/>
    <col min="13064" max="13064" width="19.77734375" customWidth="1"/>
    <col min="13313" max="13313" width="13.5546875" customWidth="1"/>
    <col min="13314" max="13314" width="16.109375" customWidth="1"/>
    <col min="13315" max="13315" width="21.44140625" customWidth="1"/>
    <col min="13316" max="13316" width="29.6640625" customWidth="1"/>
    <col min="13317" max="13317" width="18" customWidth="1"/>
    <col min="13319" max="13319" width="21.33203125" bestFit="1" customWidth="1"/>
    <col min="13320" max="13320" width="19.77734375" customWidth="1"/>
    <col min="13569" max="13569" width="13.5546875" customWidth="1"/>
    <col min="13570" max="13570" width="16.109375" customWidth="1"/>
    <col min="13571" max="13571" width="21.44140625" customWidth="1"/>
    <col min="13572" max="13572" width="29.6640625" customWidth="1"/>
    <col min="13573" max="13573" width="18" customWidth="1"/>
    <col min="13575" max="13575" width="21.33203125" bestFit="1" customWidth="1"/>
    <col min="13576" max="13576" width="19.77734375" customWidth="1"/>
    <col min="13825" max="13825" width="13.5546875" customWidth="1"/>
    <col min="13826" max="13826" width="16.109375" customWidth="1"/>
    <col min="13827" max="13827" width="21.44140625" customWidth="1"/>
    <col min="13828" max="13828" width="29.6640625" customWidth="1"/>
    <col min="13829" max="13829" width="18" customWidth="1"/>
    <col min="13831" max="13831" width="21.33203125" bestFit="1" customWidth="1"/>
    <col min="13832" max="13832" width="19.77734375" customWidth="1"/>
    <col min="14081" max="14081" width="13.5546875" customWidth="1"/>
    <col min="14082" max="14082" width="16.109375" customWidth="1"/>
    <col min="14083" max="14083" width="21.44140625" customWidth="1"/>
    <col min="14084" max="14084" width="29.6640625" customWidth="1"/>
    <col min="14085" max="14085" width="18" customWidth="1"/>
    <col min="14087" max="14087" width="21.33203125" bestFit="1" customWidth="1"/>
    <col min="14088" max="14088" width="19.77734375" customWidth="1"/>
    <col min="14337" max="14337" width="13.5546875" customWidth="1"/>
    <col min="14338" max="14338" width="16.109375" customWidth="1"/>
    <col min="14339" max="14339" width="21.44140625" customWidth="1"/>
    <col min="14340" max="14340" width="29.6640625" customWidth="1"/>
    <col min="14341" max="14341" width="18" customWidth="1"/>
    <col min="14343" max="14343" width="21.33203125" bestFit="1" customWidth="1"/>
    <col min="14344" max="14344" width="19.77734375" customWidth="1"/>
    <col min="14593" max="14593" width="13.5546875" customWidth="1"/>
    <col min="14594" max="14594" width="16.109375" customWidth="1"/>
    <col min="14595" max="14595" width="21.44140625" customWidth="1"/>
    <col min="14596" max="14596" width="29.6640625" customWidth="1"/>
    <col min="14597" max="14597" width="18" customWidth="1"/>
    <col min="14599" max="14599" width="21.33203125" bestFit="1" customWidth="1"/>
    <col min="14600" max="14600" width="19.77734375" customWidth="1"/>
    <col min="14849" max="14849" width="13.5546875" customWidth="1"/>
    <col min="14850" max="14850" width="16.109375" customWidth="1"/>
    <col min="14851" max="14851" width="21.44140625" customWidth="1"/>
    <col min="14852" max="14852" width="29.6640625" customWidth="1"/>
    <col min="14853" max="14853" width="18" customWidth="1"/>
    <col min="14855" max="14855" width="21.33203125" bestFit="1" customWidth="1"/>
    <col min="14856" max="14856" width="19.77734375" customWidth="1"/>
    <col min="15105" max="15105" width="13.5546875" customWidth="1"/>
    <col min="15106" max="15106" width="16.109375" customWidth="1"/>
    <col min="15107" max="15107" width="21.44140625" customWidth="1"/>
    <col min="15108" max="15108" width="29.6640625" customWidth="1"/>
    <col min="15109" max="15109" width="18" customWidth="1"/>
    <col min="15111" max="15111" width="21.33203125" bestFit="1" customWidth="1"/>
    <col min="15112" max="15112" width="19.77734375" customWidth="1"/>
    <col min="15361" max="15361" width="13.5546875" customWidth="1"/>
    <col min="15362" max="15362" width="16.109375" customWidth="1"/>
    <col min="15363" max="15363" width="21.44140625" customWidth="1"/>
    <col min="15364" max="15364" width="29.6640625" customWidth="1"/>
    <col min="15365" max="15365" width="18" customWidth="1"/>
    <col min="15367" max="15367" width="21.33203125" bestFit="1" customWidth="1"/>
    <col min="15368" max="15368" width="19.77734375" customWidth="1"/>
    <col min="15617" max="15617" width="13.5546875" customWidth="1"/>
    <col min="15618" max="15618" width="16.109375" customWidth="1"/>
    <col min="15619" max="15619" width="21.44140625" customWidth="1"/>
    <col min="15620" max="15620" width="29.6640625" customWidth="1"/>
    <col min="15621" max="15621" width="18" customWidth="1"/>
    <col min="15623" max="15623" width="21.33203125" bestFit="1" customWidth="1"/>
    <col min="15624" max="15624" width="19.77734375" customWidth="1"/>
    <col min="15873" max="15873" width="13.5546875" customWidth="1"/>
    <col min="15874" max="15874" width="16.109375" customWidth="1"/>
    <col min="15875" max="15875" width="21.44140625" customWidth="1"/>
    <col min="15876" max="15876" width="29.6640625" customWidth="1"/>
    <col min="15877" max="15877" width="18" customWidth="1"/>
    <col min="15879" max="15879" width="21.33203125" bestFit="1" customWidth="1"/>
    <col min="15880" max="15880" width="19.77734375" customWidth="1"/>
    <col min="16129" max="16129" width="13.5546875" customWidth="1"/>
    <col min="16130" max="16130" width="16.109375" customWidth="1"/>
    <col min="16131" max="16131" width="21.44140625" customWidth="1"/>
    <col min="16132" max="16132" width="29.6640625" customWidth="1"/>
    <col min="16133" max="16133" width="18" customWidth="1"/>
    <col min="16135" max="16135" width="21.33203125" bestFit="1" customWidth="1"/>
    <col min="16136" max="16136" width="19.77734375" customWidth="1"/>
  </cols>
  <sheetData>
    <row r="1" spans="1:8" ht="21" x14ac:dyDescent="0.4">
      <c r="A1" s="150" t="s">
        <v>421</v>
      </c>
    </row>
    <row r="2" spans="1:8" ht="21.6" thickBot="1" x14ac:dyDescent="0.45">
      <c r="A2" s="150"/>
    </row>
    <row r="3" spans="1:8" ht="25.2" thickBot="1" x14ac:dyDescent="0.45">
      <c r="A3" s="511" t="s">
        <v>422</v>
      </c>
      <c r="B3" s="512"/>
      <c r="C3" s="512"/>
      <c r="D3" s="512"/>
      <c r="E3" s="512"/>
      <c r="F3" s="512"/>
      <c r="G3" s="512"/>
      <c r="H3" s="513"/>
    </row>
    <row r="4" spans="1:8" s="58" customFormat="1" ht="16.2" thickBot="1" x14ac:dyDescent="0.35">
      <c r="A4" s="152"/>
      <c r="B4" s="153"/>
      <c r="C4" s="153"/>
      <c r="D4" s="153"/>
      <c r="E4" s="154"/>
      <c r="F4" s="59"/>
      <c r="G4" s="154"/>
      <c r="H4" s="154"/>
    </row>
    <row r="5" spans="1:8" ht="28.5" customHeight="1" thickBot="1" x14ac:dyDescent="0.45">
      <c r="A5" s="514" t="s">
        <v>423</v>
      </c>
      <c r="B5" s="515"/>
      <c r="C5" s="515"/>
      <c r="D5" s="516"/>
      <c r="E5" s="155"/>
      <c r="F5" s="517"/>
      <c r="G5" s="518"/>
      <c r="H5" s="156"/>
    </row>
    <row r="6" spans="1:8" ht="15" thickBot="1" x14ac:dyDescent="0.35">
      <c r="A6" s="157"/>
      <c r="B6" s="158"/>
      <c r="C6" s="158"/>
      <c r="D6" s="158"/>
      <c r="E6" s="159"/>
      <c r="F6" s="160"/>
      <c r="G6" s="159"/>
      <c r="H6" s="161"/>
    </row>
    <row r="7" spans="1:8" ht="18" thickBot="1" x14ac:dyDescent="0.35">
      <c r="A7" s="508" t="s">
        <v>185</v>
      </c>
      <c r="B7" s="509"/>
      <c r="C7" s="509"/>
      <c r="D7" s="509"/>
      <c r="E7" s="509"/>
      <c r="F7" s="509"/>
      <c r="G7" s="509"/>
      <c r="H7" s="510"/>
    </row>
    <row r="8" spans="1:8" ht="29.4" thickBot="1" x14ac:dyDescent="0.35">
      <c r="A8" s="162" t="s">
        <v>186</v>
      </c>
      <c r="B8" s="163" t="s">
        <v>187</v>
      </c>
      <c r="C8" s="163" t="s">
        <v>188</v>
      </c>
      <c r="D8" s="163" t="s">
        <v>189</v>
      </c>
      <c r="E8" s="163" t="s">
        <v>190</v>
      </c>
      <c r="F8" s="164" t="s">
        <v>191</v>
      </c>
      <c r="G8" s="165" t="s">
        <v>192</v>
      </c>
      <c r="H8" s="166" t="s">
        <v>193</v>
      </c>
    </row>
    <row r="9" spans="1:8" ht="21" x14ac:dyDescent="0.3">
      <c r="A9" s="167" t="s">
        <v>194</v>
      </c>
      <c r="B9" s="168"/>
      <c r="C9" s="168"/>
      <c r="D9" s="168"/>
      <c r="E9" s="169"/>
      <c r="F9" s="170"/>
      <c r="G9" s="171"/>
      <c r="H9" s="171"/>
    </row>
    <row r="10" spans="1:8" ht="20.399999999999999" x14ac:dyDescent="0.3">
      <c r="A10" s="172" t="s">
        <v>195</v>
      </c>
      <c r="B10" s="193" t="s">
        <v>196</v>
      </c>
      <c r="C10" s="200" t="s">
        <v>197</v>
      </c>
      <c r="D10" s="193" t="s">
        <v>198</v>
      </c>
      <c r="E10" s="371" t="s">
        <v>325</v>
      </c>
      <c r="F10" s="173">
        <v>142</v>
      </c>
      <c r="G10" s="174" t="s">
        <v>199</v>
      </c>
      <c r="H10" s="175"/>
    </row>
    <row r="11" spans="1:8" ht="15" thickBot="1" x14ac:dyDescent="0.35">
      <c r="A11" s="176" t="s">
        <v>195</v>
      </c>
      <c r="B11" s="243" t="s">
        <v>200</v>
      </c>
      <c r="C11" s="202" t="s">
        <v>201</v>
      </c>
      <c r="D11" s="432" t="s">
        <v>202</v>
      </c>
      <c r="E11" s="416" t="s">
        <v>203</v>
      </c>
      <c r="F11" s="433">
        <v>6</v>
      </c>
      <c r="G11" s="178" t="s">
        <v>77</v>
      </c>
      <c r="H11" s="179"/>
    </row>
    <row r="12" spans="1:8" x14ac:dyDescent="0.3">
      <c r="A12" s="180" t="s">
        <v>205</v>
      </c>
      <c r="B12" s="181"/>
      <c r="C12" s="181"/>
      <c r="D12" s="181"/>
      <c r="E12" s="182"/>
      <c r="F12" s="183"/>
      <c r="G12" s="184"/>
      <c r="H12" s="185"/>
    </row>
    <row r="13" spans="1:8" x14ac:dyDescent="0.3">
      <c r="A13" s="186" t="s">
        <v>195</v>
      </c>
      <c r="B13" s="187" t="s">
        <v>206</v>
      </c>
      <c r="C13" s="188" t="s">
        <v>207</v>
      </c>
      <c r="D13" s="188" t="s">
        <v>208</v>
      </c>
      <c r="E13" s="189" t="s">
        <v>209</v>
      </c>
      <c r="F13" s="190">
        <v>65</v>
      </c>
      <c r="G13" s="191" t="s">
        <v>210</v>
      </c>
      <c r="H13" s="192"/>
    </row>
    <row r="14" spans="1:8" ht="15" thickBot="1" x14ac:dyDescent="0.35">
      <c r="A14" s="186" t="s">
        <v>195</v>
      </c>
      <c r="B14" s="187" t="s">
        <v>206</v>
      </c>
      <c r="C14" s="193" t="s">
        <v>211</v>
      </c>
      <c r="D14" s="187" t="s">
        <v>212</v>
      </c>
      <c r="E14" s="189" t="s">
        <v>213</v>
      </c>
      <c r="F14" s="190">
        <v>23</v>
      </c>
      <c r="G14" s="191" t="s">
        <v>210</v>
      </c>
      <c r="H14" s="192"/>
    </row>
    <row r="15" spans="1:8" x14ac:dyDescent="0.3">
      <c r="A15" s="194" t="s">
        <v>214</v>
      </c>
      <c r="B15" s="195"/>
      <c r="C15" s="195"/>
      <c r="D15" s="195"/>
      <c r="E15" s="196"/>
      <c r="F15" s="197"/>
      <c r="G15" s="198"/>
      <c r="H15" s="199"/>
    </row>
    <row r="16" spans="1:8" x14ac:dyDescent="0.3">
      <c r="A16" s="186" t="s">
        <v>195</v>
      </c>
      <c r="B16" s="200" t="s">
        <v>215</v>
      </c>
      <c r="C16" s="188" t="s">
        <v>216</v>
      </c>
      <c r="D16" s="188" t="s">
        <v>217</v>
      </c>
      <c r="E16" s="201" t="s">
        <v>218</v>
      </c>
      <c r="F16" s="173">
        <v>42</v>
      </c>
      <c r="G16" s="191" t="s">
        <v>219</v>
      </c>
      <c r="H16" s="192"/>
    </row>
    <row r="17" spans="1:10" ht="15" thickBot="1" x14ac:dyDescent="0.35">
      <c r="A17" s="186" t="s">
        <v>195</v>
      </c>
      <c r="B17" s="202" t="s">
        <v>215</v>
      </c>
      <c r="C17" s="203" t="s">
        <v>220</v>
      </c>
      <c r="D17" s="203" t="s">
        <v>221</v>
      </c>
      <c r="E17" s="204" t="s">
        <v>222</v>
      </c>
      <c r="F17" s="205">
        <v>63</v>
      </c>
      <c r="G17" s="191" t="s">
        <v>219</v>
      </c>
      <c r="H17" s="192"/>
    </row>
    <row r="18" spans="1:10" x14ac:dyDescent="0.3">
      <c r="A18" s="194" t="s">
        <v>223</v>
      </c>
      <c r="B18" s="195"/>
      <c r="C18" s="195"/>
      <c r="D18" s="195"/>
      <c r="E18" s="196"/>
      <c r="F18" s="197"/>
      <c r="G18" s="206"/>
      <c r="H18" s="207"/>
    </row>
    <row r="19" spans="1:10" ht="15" thickBot="1" x14ac:dyDescent="0.35">
      <c r="A19" s="208" t="s">
        <v>195</v>
      </c>
      <c r="B19" s="202" t="s">
        <v>224</v>
      </c>
      <c r="C19" s="203" t="s">
        <v>225</v>
      </c>
      <c r="D19" s="203" t="s">
        <v>226</v>
      </c>
      <c r="E19" s="209" t="s">
        <v>227</v>
      </c>
      <c r="F19" s="205">
        <v>63</v>
      </c>
      <c r="G19" s="210" t="s">
        <v>228</v>
      </c>
      <c r="H19" s="211"/>
    </row>
    <row r="20" spans="1:10" ht="15" thickBot="1" x14ac:dyDescent="0.35">
      <c r="B20" s="212"/>
      <c r="C20" s="213"/>
      <c r="D20" s="213"/>
      <c r="E20" s="214" t="s">
        <v>229</v>
      </c>
      <c r="F20" s="215">
        <f>SUM(F10:F11,F13:F14,F16:F17,F19)</f>
        <v>404</v>
      </c>
      <c r="G20" s="216"/>
      <c r="H20" s="217"/>
    </row>
    <row r="21" spans="1:10" ht="18" thickBot="1" x14ac:dyDescent="0.35">
      <c r="A21" s="508" t="s">
        <v>230</v>
      </c>
      <c r="B21" s="509"/>
      <c r="C21" s="509"/>
      <c r="D21" s="509"/>
      <c r="E21" s="509"/>
      <c r="F21" s="509"/>
      <c r="G21" s="509"/>
      <c r="H21" s="510"/>
    </row>
    <row r="22" spans="1:10" ht="29.4" thickBot="1" x14ac:dyDescent="0.35">
      <c r="A22" s="162" t="s">
        <v>231</v>
      </c>
      <c r="B22" s="163" t="s">
        <v>187</v>
      </c>
      <c r="C22" s="163" t="s">
        <v>188</v>
      </c>
      <c r="D22" s="163" t="s">
        <v>189</v>
      </c>
      <c r="E22" s="163" t="s">
        <v>190</v>
      </c>
      <c r="F22" s="164" t="s">
        <v>191</v>
      </c>
      <c r="G22" s="165" t="s">
        <v>192</v>
      </c>
      <c r="H22" s="166" t="s">
        <v>193</v>
      </c>
    </row>
    <row r="23" spans="1:10" ht="21" x14ac:dyDescent="0.3">
      <c r="A23" s="167" t="s">
        <v>194</v>
      </c>
      <c r="B23" s="168"/>
      <c r="C23" s="168"/>
      <c r="D23" s="168"/>
      <c r="E23" s="169"/>
      <c r="F23" s="218"/>
      <c r="G23" s="171"/>
      <c r="H23" s="171"/>
    </row>
    <row r="24" spans="1:10" x14ac:dyDescent="0.3">
      <c r="A24" s="219" t="s">
        <v>195</v>
      </c>
      <c r="B24" s="220" t="s">
        <v>232</v>
      </c>
      <c r="C24" s="221" t="s">
        <v>233</v>
      </c>
      <c r="D24" s="221" t="s">
        <v>234</v>
      </c>
      <c r="E24" s="222" t="s">
        <v>326</v>
      </c>
      <c r="F24" s="223">
        <v>28</v>
      </c>
      <c r="G24" s="224" t="s">
        <v>235</v>
      </c>
      <c r="H24" s="175"/>
    </row>
    <row r="25" spans="1:10" s="229" customFormat="1" ht="20.399999999999999" x14ac:dyDescent="0.3">
      <c r="A25" s="225" t="s">
        <v>195</v>
      </c>
      <c r="B25" s="188" t="s">
        <v>236</v>
      </c>
      <c r="C25" s="193" t="s">
        <v>237</v>
      </c>
      <c r="D25" s="226" t="s">
        <v>238</v>
      </c>
      <c r="E25" s="371" t="s">
        <v>327</v>
      </c>
      <c r="F25" s="227">
        <v>6</v>
      </c>
      <c r="G25" s="191" t="s">
        <v>338</v>
      </c>
      <c r="H25" s="174"/>
      <c r="I25" s="228"/>
    </row>
    <row r="26" spans="1:10" ht="15" thickBot="1" x14ac:dyDescent="0.35">
      <c r="A26" s="186" t="s">
        <v>195</v>
      </c>
      <c r="B26" s="230"/>
      <c r="C26" s="230"/>
      <c r="D26" s="231"/>
      <c r="E26" s="232"/>
      <c r="F26" s="233"/>
      <c r="G26" s="234"/>
      <c r="H26" s="235"/>
    </row>
    <row r="27" spans="1:10" x14ac:dyDescent="0.3">
      <c r="A27" s="194" t="s">
        <v>205</v>
      </c>
      <c r="B27" s="195"/>
      <c r="C27" s="195"/>
      <c r="D27" s="195"/>
      <c r="E27" s="236"/>
      <c r="F27" s="237"/>
      <c r="G27" s="238"/>
      <c r="H27" s="239"/>
    </row>
    <row r="28" spans="1:10" x14ac:dyDescent="0.3">
      <c r="A28" s="186" t="s">
        <v>195</v>
      </c>
      <c r="B28" s="187" t="s">
        <v>239</v>
      </c>
      <c r="C28" s="193" t="s">
        <v>318</v>
      </c>
      <c r="D28" s="187" t="s">
        <v>319</v>
      </c>
      <c r="E28" s="189" t="s">
        <v>320</v>
      </c>
      <c r="F28" s="441">
        <v>12</v>
      </c>
      <c r="G28" s="191" t="s">
        <v>210</v>
      </c>
      <c r="H28" s="192"/>
      <c r="J28" s="240"/>
    </row>
    <row r="29" spans="1:10" ht="15" thickBot="1" x14ac:dyDescent="0.35">
      <c r="A29" s="241" t="s">
        <v>195</v>
      </c>
      <c r="B29" s="242" t="s">
        <v>239</v>
      </c>
      <c r="C29" s="243" t="s">
        <v>321</v>
      </c>
      <c r="D29" s="242" t="s">
        <v>322</v>
      </c>
      <c r="E29" s="244" t="s">
        <v>328</v>
      </c>
      <c r="F29" s="444">
        <v>0</v>
      </c>
      <c r="G29" s="245" t="s">
        <v>64</v>
      </c>
      <c r="H29" s="192"/>
    </row>
    <row r="30" spans="1:10" x14ac:dyDescent="0.3">
      <c r="A30" s="194" t="s">
        <v>214</v>
      </c>
      <c r="B30" s="195"/>
      <c r="C30" s="246"/>
      <c r="D30" s="195"/>
      <c r="E30" s="236"/>
      <c r="F30" s="247"/>
      <c r="G30" s="198"/>
      <c r="H30" s="199"/>
    </row>
    <row r="31" spans="1:10" x14ac:dyDescent="0.3">
      <c r="A31" s="186" t="s">
        <v>195</v>
      </c>
      <c r="B31" s="248" t="s">
        <v>242</v>
      </c>
      <c r="C31" s="248" t="s">
        <v>243</v>
      </c>
      <c r="D31" s="248" t="s">
        <v>244</v>
      </c>
      <c r="E31" s="201" t="s">
        <v>245</v>
      </c>
      <c r="F31" s="441">
        <v>31</v>
      </c>
      <c r="G31" s="191" t="s">
        <v>219</v>
      </c>
      <c r="H31" s="192"/>
    </row>
    <row r="32" spans="1:10" ht="21" thickBot="1" x14ac:dyDescent="0.35">
      <c r="A32" s="241" t="s">
        <v>195</v>
      </c>
      <c r="B32" s="248" t="s">
        <v>242</v>
      </c>
      <c r="C32" s="200" t="s">
        <v>246</v>
      </c>
      <c r="D32" s="248" t="s">
        <v>247</v>
      </c>
      <c r="E32" s="201" t="s">
        <v>248</v>
      </c>
      <c r="F32" s="249">
        <v>33</v>
      </c>
      <c r="G32" s="250" t="s">
        <v>219</v>
      </c>
      <c r="H32" s="250" t="s">
        <v>249</v>
      </c>
    </row>
    <row r="33" spans="1:8" x14ac:dyDescent="0.3">
      <c r="A33" s="194" t="s">
        <v>223</v>
      </c>
      <c r="B33" s="195"/>
      <c r="C33" s="195"/>
      <c r="D33" s="195"/>
      <c r="E33" s="236"/>
      <c r="F33" s="251"/>
      <c r="G33" s="238"/>
      <c r="H33" s="207"/>
    </row>
    <row r="34" spans="1:8" x14ac:dyDescent="0.3">
      <c r="A34" s="186" t="s">
        <v>195</v>
      </c>
      <c r="B34" s="193" t="s">
        <v>250</v>
      </c>
      <c r="C34" s="193" t="s">
        <v>251</v>
      </c>
      <c r="D34" s="193" t="s">
        <v>252</v>
      </c>
      <c r="E34" s="201" t="s">
        <v>253</v>
      </c>
      <c r="F34" s="441">
        <v>34</v>
      </c>
      <c r="G34" s="252" t="s">
        <v>228</v>
      </c>
      <c r="H34" s="434"/>
    </row>
    <row r="35" spans="1:8" ht="18.600000000000001" customHeight="1" thickBot="1" x14ac:dyDescent="0.35">
      <c r="A35" s="253" t="s">
        <v>195</v>
      </c>
      <c r="B35" s="243" t="s">
        <v>250</v>
      </c>
      <c r="C35" s="243" t="s">
        <v>254</v>
      </c>
      <c r="D35" s="243" t="s">
        <v>255</v>
      </c>
      <c r="E35" s="201" t="s">
        <v>438</v>
      </c>
      <c r="F35" s="442">
        <v>40</v>
      </c>
      <c r="G35" s="254" t="s">
        <v>437</v>
      </c>
      <c r="H35" s="250"/>
    </row>
    <row r="36" spans="1:8" ht="15" thickBot="1" x14ac:dyDescent="0.35">
      <c r="A36" s="255"/>
      <c r="B36" s="212"/>
      <c r="C36" s="213"/>
      <c r="D36" s="213"/>
      <c r="E36" s="256" t="s">
        <v>229</v>
      </c>
      <c r="F36" s="257">
        <f>F24+F25+F28+F31+F32+F34+F35</f>
        <v>184</v>
      </c>
      <c r="G36" s="258"/>
      <c r="H36" s="259"/>
    </row>
    <row r="37" spans="1:8" ht="15" thickBot="1" x14ac:dyDescent="0.35">
      <c r="A37" s="260"/>
      <c r="B37" s="261"/>
      <c r="C37" s="261"/>
      <c r="D37" s="261"/>
      <c r="E37" s="261"/>
      <c r="F37" s="262"/>
      <c r="G37" s="261"/>
      <c r="H37" s="263"/>
    </row>
    <row r="38" spans="1:8" ht="15" thickBot="1" x14ac:dyDescent="0.35">
      <c r="A38" s="264"/>
      <c r="B38" s="265"/>
      <c r="C38" s="265"/>
      <c r="D38" s="265"/>
      <c r="E38" s="265"/>
      <c r="F38" s="266"/>
      <c r="G38" s="265"/>
      <c r="H38" s="267"/>
    </row>
    <row r="39" spans="1:8" ht="40.950000000000003" customHeight="1" thickBot="1" x14ac:dyDescent="0.35">
      <c r="A39" s="519" t="s">
        <v>424</v>
      </c>
      <c r="B39" s="520"/>
      <c r="C39" s="520"/>
      <c r="D39" s="520"/>
      <c r="E39" s="268"/>
      <c r="F39" s="521"/>
      <c r="G39" s="521"/>
      <c r="H39" s="156"/>
    </row>
    <row r="40" spans="1:8" ht="15" thickBot="1" x14ac:dyDescent="0.35">
      <c r="A40" s="157"/>
      <c r="B40" s="158"/>
      <c r="C40" s="158"/>
      <c r="D40" s="158"/>
      <c r="E40" s="158"/>
      <c r="F40" s="269"/>
      <c r="G40" s="158"/>
      <c r="H40" s="270"/>
    </row>
    <row r="41" spans="1:8" ht="18" thickBot="1" x14ac:dyDescent="0.35">
      <c r="A41" s="508" t="s">
        <v>185</v>
      </c>
      <c r="B41" s="509"/>
      <c r="C41" s="509"/>
      <c r="D41" s="509"/>
      <c r="E41" s="509"/>
      <c r="F41" s="509"/>
      <c r="G41" s="509"/>
      <c r="H41" s="510"/>
    </row>
    <row r="42" spans="1:8" ht="29.4" thickBot="1" x14ac:dyDescent="0.35">
      <c r="A42" s="162" t="s">
        <v>231</v>
      </c>
      <c r="B42" s="163" t="s">
        <v>187</v>
      </c>
      <c r="C42" s="163" t="s">
        <v>188</v>
      </c>
      <c r="D42" s="163" t="s">
        <v>189</v>
      </c>
      <c r="E42" s="271" t="s">
        <v>190</v>
      </c>
      <c r="F42" s="272" t="s">
        <v>191</v>
      </c>
      <c r="G42" s="273" t="s">
        <v>192</v>
      </c>
      <c r="H42" s="166" t="s">
        <v>193</v>
      </c>
    </row>
    <row r="43" spans="1:8" ht="21" x14ac:dyDescent="0.3">
      <c r="A43" s="167" t="s">
        <v>194</v>
      </c>
      <c r="B43" s="168"/>
      <c r="C43" s="168"/>
      <c r="D43" s="168"/>
      <c r="E43" s="169"/>
      <c r="F43" s="274"/>
      <c r="G43" s="275"/>
      <c r="H43" s="276"/>
    </row>
    <row r="44" spans="1:8" ht="20.399999999999999" x14ac:dyDescent="0.3">
      <c r="A44" s="277" t="s">
        <v>256</v>
      </c>
      <c r="B44" s="278" t="s">
        <v>196</v>
      </c>
      <c r="C44" s="278" t="s">
        <v>257</v>
      </c>
      <c r="D44" s="278" t="s">
        <v>258</v>
      </c>
      <c r="E44" s="279" t="s">
        <v>326</v>
      </c>
      <c r="F44" s="280">
        <v>156</v>
      </c>
      <c r="G44" s="281" t="s">
        <v>348</v>
      </c>
      <c r="H44" s="282"/>
    </row>
    <row r="45" spans="1:8" ht="15" thickBot="1" x14ac:dyDescent="0.35">
      <c r="A45" s="283" t="s">
        <v>256</v>
      </c>
      <c r="B45" s="284" t="s">
        <v>200</v>
      </c>
      <c r="C45" s="285" t="s">
        <v>259</v>
      </c>
      <c r="D45" s="285" t="s">
        <v>260</v>
      </c>
      <c r="E45" s="286" t="s">
        <v>261</v>
      </c>
      <c r="F45" s="435">
        <v>9</v>
      </c>
      <c r="G45" s="436" t="s">
        <v>77</v>
      </c>
      <c r="H45" s="287"/>
    </row>
    <row r="46" spans="1:8" x14ac:dyDescent="0.3">
      <c r="A46" s="288" t="s">
        <v>205</v>
      </c>
      <c r="B46" s="195"/>
      <c r="C46" s="246"/>
      <c r="D46" s="246"/>
      <c r="E46" s="289"/>
      <c r="F46" s="290"/>
      <c r="G46" s="291"/>
      <c r="H46" s="292"/>
    </row>
    <row r="47" spans="1:8" ht="20.399999999999999" x14ac:dyDescent="0.3">
      <c r="A47" s="293" t="s">
        <v>256</v>
      </c>
      <c r="B47" s="278" t="s">
        <v>206</v>
      </c>
      <c r="C47" s="294" t="s">
        <v>262</v>
      </c>
      <c r="D47" s="294" t="s">
        <v>263</v>
      </c>
      <c r="E47" s="295" t="s">
        <v>330</v>
      </c>
      <c r="F47" s="437">
        <v>72</v>
      </c>
      <c r="G47" s="313" t="s">
        <v>219</v>
      </c>
      <c r="H47" s="174" t="s">
        <v>249</v>
      </c>
    </row>
    <row r="48" spans="1:8" x14ac:dyDescent="0.3">
      <c r="A48" s="296" t="s">
        <v>256</v>
      </c>
      <c r="B48" s="297" t="s">
        <v>206</v>
      </c>
      <c r="C48" s="298" t="s">
        <v>264</v>
      </c>
      <c r="D48" s="298" t="s">
        <v>265</v>
      </c>
      <c r="E48" s="299" t="s">
        <v>328</v>
      </c>
      <c r="F48" s="446">
        <v>0</v>
      </c>
      <c r="G48" s="313" t="s">
        <v>219</v>
      </c>
      <c r="H48" s="300"/>
    </row>
    <row r="49" spans="1:8" ht="15" thickBot="1" x14ac:dyDescent="0.35">
      <c r="A49" s="301" t="s">
        <v>256</v>
      </c>
      <c r="B49" s="284" t="s">
        <v>206</v>
      </c>
      <c r="C49" s="302" t="s">
        <v>266</v>
      </c>
      <c r="D49" s="302" t="s">
        <v>267</v>
      </c>
      <c r="E49" s="303" t="s">
        <v>268</v>
      </c>
      <c r="F49" s="435">
        <v>37</v>
      </c>
      <c r="G49" s="304" t="s">
        <v>219</v>
      </c>
      <c r="H49" s="305"/>
    </row>
    <row r="50" spans="1:8" x14ac:dyDescent="0.3">
      <c r="A50" s="306" t="s">
        <v>214</v>
      </c>
      <c r="B50" s="307"/>
      <c r="C50" s="308"/>
      <c r="D50" s="308"/>
      <c r="E50" s="309"/>
      <c r="F50" s="310"/>
      <c r="G50" s="311"/>
      <c r="H50" s="312"/>
    </row>
    <row r="51" spans="1:8" ht="20.399999999999999" x14ac:dyDescent="0.3">
      <c r="A51" s="293" t="s">
        <v>256</v>
      </c>
      <c r="B51" s="200" t="s">
        <v>215</v>
      </c>
      <c r="C51" s="220" t="s">
        <v>269</v>
      </c>
      <c r="D51" s="294" t="s">
        <v>270</v>
      </c>
      <c r="E51" s="222" t="s">
        <v>271</v>
      </c>
      <c r="F51" s="437">
        <v>58</v>
      </c>
      <c r="G51" s="313" t="s">
        <v>210</v>
      </c>
      <c r="H51" s="314"/>
    </row>
    <row r="52" spans="1:8" ht="15" thickBot="1" x14ac:dyDescent="0.35">
      <c r="A52" s="315" t="s">
        <v>256</v>
      </c>
      <c r="B52" s="316" t="s">
        <v>215</v>
      </c>
      <c r="C52" s="317" t="s">
        <v>272</v>
      </c>
      <c r="D52" s="318" t="s">
        <v>273</v>
      </c>
      <c r="E52" s="319" t="s">
        <v>274</v>
      </c>
      <c r="F52" s="320">
        <v>55</v>
      </c>
      <c r="G52" s="321" t="s">
        <v>210</v>
      </c>
      <c r="H52" s="300"/>
    </row>
    <row r="53" spans="1:8" x14ac:dyDescent="0.3">
      <c r="A53" s="194" t="s">
        <v>223</v>
      </c>
      <c r="B53" s="195"/>
      <c r="C53" s="195"/>
      <c r="D53" s="195"/>
      <c r="E53" s="322"/>
      <c r="F53" s="323"/>
      <c r="G53" s="324"/>
      <c r="H53" s="325"/>
    </row>
    <row r="54" spans="1:8" ht="15" thickBot="1" x14ac:dyDescent="0.35">
      <c r="A54" s="301" t="s">
        <v>256</v>
      </c>
      <c r="B54" s="326" t="s">
        <v>224</v>
      </c>
      <c r="C54" s="285" t="s">
        <v>275</v>
      </c>
      <c r="D54" s="285" t="s">
        <v>276</v>
      </c>
      <c r="E54" s="327" t="s">
        <v>277</v>
      </c>
      <c r="F54" s="438">
        <v>82</v>
      </c>
      <c r="G54" s="328" t="s">
        <v>228</v>
      </c>
      <c r="H54" s="329"/>
    </row>
    <row r="55" spans="1:8" ht="15" thickBot="1" x14ac:dyDescent="0.35">
      <c r="A55" s="255"/>
      <c r="B55" s="212"/>
      <c r="C55" s="213"/>
      <c r="D55" s="213"/>
      <c r="E55" s="214" t="s">
        <v>229</v>
      </c>
      <c r="F55" s="215">
        <f>F44+F45+F47+F48+F49+F51+F52+F54</f>
        <v>469</v>
      </c>
      <c r="G55" s="216"/>
      <c r="H55" s="259"/>
    </row>
    <row r="56" spans="1:8" ht="18" thickBot="1" x14ac:dyDescent="0.35">
      <c r="A56" s="508" t="s">
        <v>230</v>
      </c>
      <c r="B56" s="509"/>
      <c r="C56" s="509"/>
      <c r="D56" s="509"/>
      <c r="E56" s="509"/>
      <c r="F56" s="509"/>
      <c r="G56" s="509"/>
      <c r="H56" s="510"/>
    </row>
    <row r="57" spans="1:8" ht="29.4" thickBot="1" x14ac:dyDescent="0.35">
      <c r="A57" s="330" t="s">
        <v>231</v>
      </c>
      <c r="B57" s="331" t="s">
        <v>187</v>
      </c>
      <c r="C57" s="331" t="s">
        <v>188</v>
      </c>
      <c r="D57" s="331" t="s">
        <v>189</v>
      </c>
      <c r="E57" s="331" t="s">
        <v>190</v>
      </c>
      <c r="F57" s="332" t="s">
        <v>191</v>
      </c>
      <c r="G57" s="333" t="s">
        <v>192</v>
      </c>
      <c r="H57" s="166" t="s">
        <v>193</v>
      </c>
    </row>
    <row r="58" spans="1:8" ht="21" x14ac:dyDescent="0.3">
      <c r="A58" s="167" t="s">
        <v>194</v>
      </c>
      <c r="B58" s="324"/>
      <c r="C58" s="324"/>
      <c r="D58" s="324"/>
      <c r="E58" s="334"/>
      <c r="F58" s="218"/>
      <c r="G58" s="171"/>
      <c r="H58" s="171"/>
    </row>
    <row r="59" spans="1:8" x14ac:dyDescent="0.3">
      <c r="A59" s="186" t="s">
        <v>256</v>
      </c>
      <c r="B59" s="188" t="s">
        <v>278</v>
      </c>
      <c r="C59" s="226" t="s">
        <v>279</v>
      </c>
      <c r="D59" s="226" t="s">
        <v>280</v>
      </c>
      <c r="E59" s="201" t="s">
        <v>326</v>
      </c>
      <c r="F59" s="445">
        <v>0</v>
      </c>
      <c r="G59" s="335" t="s">
        <v>204</v>
      </c>
      <c r="H59" s="174"/>
    </row>
    <row r="60" spans="1:8" ht="20.399999999999999" x14ac:dyDescent="0.3">
      <c r="A60" s="293" t="s">
        <v>256</v>
      </c>
      <c r="B60" s="188" t="s">
        <v>232</v>
      </c>
      <c r="C60" s="226" t="s">
        <v>281</v>
      </c>
      <c r="D60" s="226" t="s">
        <v>282</v>
      </c>
      <c r="E60" s="372" t="s">
        <v>331</v>
      </c>
      <c r="F60" s="336">
        <v>31</v>
      </c>
      <c r="G60" s="450" t="s">
        <v>347</v>
      </c>
      <c r="H60" s="174"/>
    </row>
    <row r="61" spans="1:8" ht="31.2" thickBot="1" x14ac:dyDescent="0.35">
      <c r="A61" s="208" t="s">
        <v>256</v>
      </c>
      <c r="B61" s="203" t="s">
        <v>236</v>
      </c>
      <c r="C61" s="203" t="s">
        <v>283</v>
      </c>
      <c r="D61" s="203" t="s">
        <v>284</v>
      </c>
      <c r="E61" s="371" t="s">
        <v>332</v>
      </c>
      <c r="F61" s="337">
        <v>24</v>
      </c>
      <c r="G61" s="338" t="s">
        <v>204</v>
      </c>
      <c r="H61" s="250" t="s">
        <v>249</v>
      </c>
    </row>
    <row r="62" spans="1:8" s="159" customFormat="1" x14ac:dyDescent="0.25">
      <c r="A62" s="306" t="s">
        <v>205</v>
      </c>
      <c r="B62" s="181"/>
      <c r="C62" s="181"/>
      <c r="D62" s="181"/>
      <c r="E62" s="339"/>
      <c r="F62" s="340"/>
      <c r="G62" s="184"/>
      <c r="H62" s="341"/>
    </row>
    <row r="63" spans="1:8" x14ac:dyDescent="0.3">
      <c r="A63" s="186" t="s">
        <v>256</v>
      </c>
      <c r="B63" s="278" t="s">
        <v>239</v>
      </c>
      <c r="C63" s="220" t="s">
        <v>285</v>
      </c>
      <c r="D63" s="278" t="s">
        <v>286</v>
      </c>
      <c r="E63" s="222" t="s">
        <v>183</v>
      </c>
      <c r="F63" s="336">
        <v>15</v>
      </c>
      <c r="G63" s="174" t="s">
        <v>338</v>
      </c>
      <c r="H63" s="342"/>
    </row>
    <row r="64" spans="1:8" ht="15" thickBot="1" x14ac:dyDescent="0.35">
      <c r="A64" s="208" t="s">
        <v>256</v>
      </c>
      <c r="B64" s="426"/>
      <c r="C64" s="427"/>
      <c r="D64" s="426"/>
      <c r="E64" s="429"/>
      <c r="F64" s="428"/>
      <c r="G64" s="425"/>
      <c r="H64" s="343"/>
    </row>
    <row r="65" spans="1:9" x14ac:dyDescent="0.3">
      <c r="A65" s="288" t="s">
        <v>214</v>
      </c>
      <c r="B65" s="344"/>
      <c r="C65" s="195"/>
      <c r="D65" s="195"/>
      <c r="E65" s="236"/>
      <c r="F65" s="345"/>
      <c r="G65" s="346"/>
      <c r="H65" s="171"/>
    </row>
    <row r="66" spans="1:9" ht="15" thickBot="1" x14ac:dyDescent="0.35">
      <c r="A66" s="347" t="s">
        <v>256</v>
      </c>
      <c r="B66" s="348" t="s">
        <v>242</v>
      </c>
      <c r="C66" s="349" t="s">
        <v>287</v>
      </c>
      <c r="D66" s="349" t="s">
        <v>288</v>
      </c>
      <c r="E66" s="350" t="s">
        <v>289</v>
      </c>
      <c r="F66" s="439">
        <v>29</v>
      </c>
      <c r="G66" s="351" t="s">
        <v>210</v>
      </c>
      <c r="H66" s="191" t="s">
        <v>249</v>
      </c>
    </row>
    <row r="67" spans="1:9" x14ac:dyDescent="0.3">
      <c r="A67" s="288" t="s">
        <v>223</v>
      </c>
      <c r="B67" s="195"/>
      <c r="C67" s="195"/>
      <c r="D67" s="195"/>
      <c r="E67" s="236"/>
      <c r="F67" s="352"/>
      <c r="G67" s="238"/>
      <c r="H67" s="353"/>
    </row>
    <row r="68" spans="1:9" x14ac:dyDescent="0.3">
      <c r="A68" s="293" t="s">
        <v>256</v>
      </c>
      <c r="B68" s="294" t="s">
        <v>250</v>
      </c>
      <c r="C68" s="354" t="s">
        <v>290</v>
      </c>
      <c r="D68" s="220" t="s">
        <v>291</v>
      </c>
      <c r="E68" s="222" t="s">
        <v>333</v>
      </c>
      <c r="F68" s="355" t="s">
        <v>336</v>
      </c>
      <c r="G68" s="356" t="s">
        <v>228</v>
      </c>
      <c r="H68" s="174"/>
    </row>
    <row r="69" spans="1:9" ht="15" thickBot="1" x14ac:dyDescent="0.35">
      <c r="A69" s="301" t="s">
        <v>256</v>
      </c>
      <c r="B69" s="285"/>
      <c r="C69" s="302"/>
      <c r="D69" s="285"/>
      <c r="E69" s="244"/>
      <c r="F69" s="357"/>
      <c r="G69" s="250"/>
      <c r="H69" s="358"/>
    </row>
    <row r="70" spans="1:9" ht="15" thickBot="1" x14ac:dyDescent="0.35">
      <c r="A70" s="255"/>
      <c r="B70" s="212"/>
      <c r="C70" s="213"/>
      <c r="D70" s="213"/>
      <c r="E70" s="256" t="s">
        <v>229</v>
      </c>
      <c r="F70" s="359">
        <f>SUM(F59:F61,F63:F64,F66,F68:F69)</f>
        <v>99</v>
      </c>
      <c r="G70" s="216"/>
      <c r="H70" s="259"/>
    </row>
    <row r="71" spans="1:9" ht="15" thickBot="1" x14ac:dyDescent="0.35">
      <c r="A71" s="260"/>
      <c r="B71" s="261"/>
      <c r="C71" s="261"/>
      <c r="D71" s="261"/>
      <c r="E71" s="261"/>
      <c r="F71" s="262"/>
      <c r="G71" s="261"/>
      <c r="H71" s="263"/>
    </row>
    <row r="72" spans="1:9" ht="15" thickBot="1" x14ac:dyDescent="0.35">
      <c r="A72" s="360"/>
      <c r="B72" s="361"/>
      <c r="C72" s="362"/>
      <c r="D72" s="362"/>
      <c r="E72" s="362"/>
      <c r="F72" s="363"/>
      <c r="G72" s="364"/>
      <c r="H72" s="365"/>
    </row>
    <row r="73" spans="1:9" ht="26.55" customHeight="1" thickBot="1" x14ac:dyDescent="0.35">
      <c r="A73" s="514" t="s">
        <v>425</v>
      </c>
      <c r="B73" s="515"/>
      <c r="C73" s="515"/>
      <c r="D73" s="516"/>
      <c r="E73" s="268"/>
      <c r="F73" s="517"/>
      <c r="G73" s="518"/>
      <c r="H73" s="366"/>
      <c r="I73" s="367"/>
    </row>
    <row r="74" spans="1:9" ht="21.6" thickBot="1" x14ac:dyDescent="0.45">
      <c r="A74" s="368"/>
      <c r="H74" s="369"/>
      <c r="I74" s="151"/>
    </row>
    <row r="75" spans="1:9" ht="18" thickBot="1" x14ac:dyDescent="0.35">
      <c r="A75" s="508" t="s">
        <v>185</v>
      </c>
      <c r="B75" s="509"/>
      <c r="C75" s="509"/>
      <c r="D75" s="509"/>
      <c r="E75" s="509"/>
      <c r="F75" s="509"/>
      <c r="G75" s="509"/>
      <c r="H75" s="510"/>
    </row>
    <row r="76" spans="1:9" ht="29.4" thickBot="1" x14ac:dyDescent="0.35">
      <c r="A76" s="162" t="s">
        <v>231</v>
      </c>
      <c r="B76" s="163" t="s">
        <v>187</v>
      </c>
      <c r="C76" s="163" t="s">
        <v>188</v>
      </c>
      <c r="D76" s="163" t="s">
        <v>189</v>
      </c>
      <c r="E76" s="163" t="s">
        <v>190</v>
      </c>
      <c r="F76" s="164" t="s">
        <v>191</v>
      </c>
      <c r="G76" s="165" t="s">
        <v>192</v>
      </c>
      <c r="H76" s="166" t="s">
        <v>193</v>
      </c>
    </row>
    <row r="77" spans="1:9" ht="21" x14ac:dyDescent="0.3">
      <c r="A77" s="167" t="s">
        <v>194</v>
      </c>
      <c r="B77" s="168"/>
      <c r="C77" s="168"/>
      <c r="D77" s="168"/>
      <c r="E77" s="169"/>
      <c r="F77" s="170"/>
      <c r="G77" s="171"/>
      <c r="H77" s="370"/>
    </row>
    <row r="78" spans="1:9" ht="20.399999999999999" x14ac:dyDescent="0.3">
      <c r="A78" s="186" t="s">
        <v>292</v>
      </c>
      <c r="B78" s="187" t="s">
        <v>196</v>
      </c>
      <c r="C78" s="187" t="s">
        <v>293</v>
      </c>
      <c r="D78" s="188" t="s">
        <v>294</v>
      </c>
      <c r="E78" s="371" t="s">
        <v>334</v>
      </c>
      <c r="F78" s="190">
        <v>166</v>
      </c>
      <c r="G78" s="335" t="s">
        <v>219</v>
      </c>
      <c r="H78" s="313"/>
    </row>
    <row r="79" spans="1:9" x14ac:dyDescent="0.3">
      <c r="A79" s="186" t="s">
        <v>292</v>
      </c>
      <c r="B79" s="193" t="s">
        <v>200</v>
      </c>
      <c r="C79" s="226" t="s">
        <v>295</v>
      </c>
      <c r="D79" s="200" t="s">
        <v>296</v>
      </c>
      <c r="E79" s="372" t="s">
        <v>297</v>
      </c>
      <c r="F79" s="190">
        <v>7</v>
      </c>
      <c r="G79" s="335" t="s">
        <v>219</v>
      </c>
      <c r="H79" s="313" t="s">
        <v>249</v>
      </c>
    </row>
    <row r="80" spans="1:9" ht="30.6" x14ac:dyDescent="0.3">
      <c r="A80" s="277" t="s">
        <v>292</v>
      </c>
      <c r="B80" s="187" t="s">
        <v>196</v>
      </c>
      <c r="C80" s="187" t="s">
        <v>298</v>
      </c>
      <c r="D80" s="188" t="s">
        <v>299</v>
      </c>
      <c r="E80" s="371" t="s">
        <v>335</v>
      </c>
      <c r="F80" s="190">
        <v>96</v>
      </c>
      <c r="G80" s="174" t="s">
        <v>339</v>
      </c>
      <c r="H80" s="373"/>
    </row>
    <row r="81" spans="1:8" ht="13.8" customHeight="1" thickBot="1" x14ac:dyDescent="0.35">
      <c r="A81" s="208" t="s">
        <v>292</v>
      </c>
      <c r="B81" s="284" t="s">
        <v>200</v>
      </c>
      <c r="C81" s="302" t="s">
        <v>300</v>
      </c>
      <c r="D81" s="302" t="s">
        <v>301</v>
      </c>
      <c r="E81" s="244" t="s">
        <v>297</v>
      </c>
      <c r="F81" s="374">
        <v>9</v>
      </c>
      <c r="G81" s="250" t="s">
        <v>219</v>
      </c>
      <c r="H81" s="375" t="s">
        <v>249</v>
      </c>
    </row>
    <row r="82" spans="1:8" x14ac:dyDescent="0.3">
      <c r="A82" s="288" t="s">
        <v>205</v>
      </c>
      <c r="B82" s="195"/>
      <c r="C82" s="376"/>
      <c r="D82" s="195"/>
      <c r="E82" s="196"/>
      <c r="F82" s="197"/>
      <c r="G82" s="377"/>
      <c r="H82" s="377"/>
    </row>
    <row r="83" spans="1:8" x14ac:dyDescent="0.3">
      <c r="A83" s="186" t="s">
        <v>292</v>
      </c>
      <c r="B83" s="278" t="s">
        <v>206</v>
      </c>
      <c r="C83" s="440" t="s">
        <v>302</v>
      </c>
      <c r="D83" s="221" t="s">
        <v>303</v>
      </c>
      <c r="E83" s="378" t="s">
        <v>304</v>
      </c>
      <c r="F83" s="190">
        <v>69</v>
      </c>
      <c r="G83" s="356" t="s">
        <v>210</v>
      </c>
      <c r="H83" s="174"/>
    </row>
    <row r="84" spans="1:8" ht="15" thickBot="1" x14ac:dyDescent="0.35">
      <c r="A84" s="208" t="s">
        <v>292</v>
      </c>
      <c r="B84" s="284" t="s">
        <v>206</v>
      </c>
      <c r="C84" s="326" t="s">
        <v>305</v>
      </c>
      <c r="D84" s="284" t="s">
        <v>306</v>
      </c>
      <c r="E84" s="379" t="s">
        <v>328</v>
      </c>
      <c r="F84" s="443">
        <v>0</v>
      </c>
      <c r="G84" s="380" t="s">
        <v>210</v>
      </c>
      <c r="H84" s="381"/>
    </row>
    <row r="85" spans="1:8" x14ac:dyDescent="0.3">
      <c r="A85" s="288" t="s">
        <v>214</v>
      </c>
      <c r="B85" s="195"/>
      <c r="C85" s="376"/>
      <c r="D85" s="195"/>
      <c r="E85" s="196"/>
      <c r="F85" s="197"/>
      <c r="G85" s="377"/>
      <c r="H85" s="377"/>
    </row>
    <row r="86" spans="1:8" ht="15" thickBot="1" x14ac:dyDescent="0.35">
      <c r="A86" s="301"/>
      <c r="B86" s="202"/>
      <c r="C86" s="177"/>
      <c r="D86" s="177"/>
      <c r="E86" s="382"/>
      <c r="F86" s="383"/>
      <c r="G86" s="384"/>
      <c r="H86" s="385"/>
    </row>
    <row r="87" spans="1:8" x14ac:dyDescent="0.3">
      <c r="A87" s="386" t="s">
        <v>223</v>
      </c>
      <c r="B87" s="387"/>
      <c r="C87" s="376"/>
      <c r="D87" s="195"/>
      <c r="E87" s="388"/>
      <c r="F87" s="389"/>
      <c r="G87" s="206"/>
      <c r="H87" s="390"/>
    </row>
    <row r="88" spans="1:8" x14ac:dyDescent="0.3">
      <c r="A88" s="293" t="s">
        <v>292</v>
      </c>
      <c r="B88" s="193" t="s">
        <v>224</v>
      </c>
      <c r="C88" s="193" t="s">
        <v>307</v>
      </c>
      <c r="D88" s="193" t="s">
        <v>308</v>
      </c>
      <c r="E88" s="371" t="s">
        <v>309</v>
      </c>
      <c r="F88" s="190">
        <v>74</v>
      </c>
      <c r="G88" s="174" t="s">
        <v>228</v>
      </c>
      <c r="H88" s="192"/>
    </row>
    <row r="89" spans="1:8" ht="21" thickBot="1" x14ac:dyDescent="0.35">
      <c r="A89" s="301" t="s">
        <v>292</v>
      </c>
      <c r="B89" s="391" t="s">
        <v>224</v>
      </c>
      <c r="C89" s="392" t="s">
        <v>337</v>
      </c>
      <c r="D89" s="392" t="s">
        <v>310</v>
      </c>
      <c r="E89" s="371" t="s">
        <v>311</v>
      </c>
      <c r="F89" s="393">
        <v>53</v>
      </c>
      <c r="G89" s="250" t="s">
        <v>204</v>
      </c>
      <c r="H89" s="394" t="s">
        <v>249</v>
      </c>
    </row>
    <row r="90" spans="1:8" ht="15" thickBot="1" x14ac:dyDescent="0.35">
      <c r="A90" s="255"/>
      <c r="B90" s="212"/>
      <c r="C90" s="213"/>
      <c r="D90" s="213"/>
      <c r="E90" s="214" t="s">
        <v>229</v>
      </c>
      <c r="F90" s="215">
        <f>SUM(F78:F81,F83:F84,F88:F89)</f>
        <v>474</v>
      </c>
      <c r="G90" s="216"/>
      <c r="H90" s="259"/>
    </row>
    <row r="91" spans="1:8" ht="18" thickBot="1" x14ac:dyDescent="0.35">
      <c r="A91" s="508" t="s">
        <v>230</v>
      </c>
      <c r="B91" s="509"/>
      <c r="C91" s="509"/>
      <c r="D91" s="509"/>
      <c r="E91" s="509"/>
      <c r="F91" s="509"/>
      <c r="G91" s="509"/>
      <c r="H91" s="510"/>
    </row>
    <row r="92" spans="1:8" ht="29.4" thickBot="1" x14ac:dyDescent="0.35">
      <c r="A92" s="162" t="s">
        <v>231</v>
      </c>
      <c r="B92" s="163" t="s">
        <v>187</v>
      </c>
      <c r="C92" s="163" t="s">
        <v>188</v>
      </c>
      <c r="D92" s="163" t="s">
        <v>189</v>
      </c>
      <c r="E92" s="163" t="s">
        <v>190</v>
      </c>
      <c r="F92" s="164" t="s">
        <v>191</v>
      </c>
      <c r="G92" s="165" t="s">
        <v>192</v>
      </c>
      <c r="H92" s="166" t="s">
        <v>193</v>
      </c>
    </row>
    <row r="93" spans="1:8" x14ac:dyDescent="0.3">
      <c r="A93" s="167" t="s">
        <v>194</v>
      </c>
      <c r="B93" s="395"/>
      <c r="C93" s="395"/>
      <c r="D93" s="395"/>
      <c r="E93" s="396"/>
      <c r="F93" s="397"/>
      <c r="G93" s="370"/>
      <c r="H93" s="171"/>
    </row>
    <row r="94" spans="1:8" x14ac:dyDescent="0.3">
      <c r="A94" s="186" t="s">
        <v>292</v>
      </c>
      <c r="B94" s="294" t="s">
        <v>312</v>
      </c>
      <c r="C94" s="221" t="s">
        <v>313</v>
      </c>
      <c r="D94" s="221" t="s">
        <v>314</v>
      </c>
      <c r="E94" s="398" t="s">
        <v>315</v>
      </c>
      <c r="F94" s="399">
        <v>27</v>
      </c>
      <c r="G94" s="400" t="s">
        <v>204</v>
      </c>
      <c r="H94" s="401"/>
    </row>
    <row r="95" spans="1:8" ht="15" thickBot="1" x14ac:dyDescent="0.35">
      <c r="A95" s="208" t="s">
        <v>292</v>
      </c>
      <c r="B95" s="284" t="s">
        <v>278</v>
      </c>
      <c r="C95" s="328" t="s">
        <v>316</v>
      </c>
      <c r="D95" s="328" t="s">
        <v>317</v>
      </c>
      <c r="E95" s="402" t="s">
        <v>261</v>
      </c>
      <c r="F95" s="249">
        <v>1</v>
      </c>
      <c r="G95" s="403" t="s">
        <v>204</v>
      </c>
      <c r="H95" s="404"/>
    </row>
    <row r="96" spans="1:8" ht="20.399999999999999" x14ac:dyDescent="0.3">
      <c r="A96" s="180" t="s">
        <v>205</v>
      </c>
      <c r="B96" s="405"/>
      <c r="C96" s="405"/>
      <c r="D96" s="405"/>
      <c r="E96" s="406"/>
      <c r="F96" s="407"/>
      <c r="G96" s="408"/>
      <c r="H96" s="409"/>
    </row>
    <row r="97" spans="1:8" ht="15" customHeight="1" x14ac:dyDescent="0.3">
      <c r="A97" s="410" t="s">
        <v>292</v>
      </c>
      <c r="B97" s="278" t="s">
        <v>239</v>
      </c>
      <c r="C97" s="220" t="s">
        <v>240</v>
      </c>
      <c r="D97" s="278" t="s">
        <v>241</v>
      </c>
      <c r="E97" s="372" t="s">
        <v>328</v>
      </c>
      <c r="F97" s="411">
        <v>17</v>
      </c>
      <c r="G97" s="412" t="s">
        <v>210</v>
      </c>
      <c r="H97" s="413" t="s">
        <v>249</v>
      </c>
    </row>
    <row r="98" spans="1:8" ht="15" thickBot="1" x14ac:dyDescent="0.35">
      <c r="A98" s="208" t="s">
        <v>292</v>
      </c>
      <c r="B98" s="423"/>
      <c r="C98" s="423"/>
      <c r="D98" s="423"/>
      <c r="E98" s="431"/>
      <c r="F98" s="424"/>
      <c r="G98" s="430"/>
      <c r="H98" s="174"/>
    </row>
    <row r="99" spans="1:8" x14ac:dyDescent="0.3">
      <c r="A99" s="194" t="s">
        <v>214</v>
      </c>
      <c r="B99" s="195"/>
      <c r="C99" s="195"/>
      <c r="D99" s="195"/>
      <c r="E99" s="236"/>
      <c r="F99" s="414"/>
      <c r="G99" s="377"/>
      <c r="H99" s="171"/>
    </row>
    <row r="100" spans="1:8" ht="15" thickBot="1" x14ac:dyDescent="0.35">
      <c r="A100" s="415"/>
      <c r="B100" s="202"/>
      <c r="C100" s="177"/>
      <c r="D100" s="177"/>
      <c r="E100" s="416"/>
      <c r="F100" s="417"/>
      <c r="G100" s="384"/>
      <c r="H100" s="418"/>
    </row>
    <row r="101" spans="1:8" x14ac:dyDescent="0.3">
      <c r="A101" s="194" t="s">
        <v>223</v>
      </c>
      <c r="B101" s="195"/>
      <c r="C101" s="195"/>
      <c r="D101" s="195"/>
      <c r="E101" s="419"/>
      <c r="F101" s="247"/>
      <c r="G101" s="206"/>
      <c r="H101" s="353"/>
    </row>
    <row r="102" spans="1:8" ht="15" thickBot="1" x14ac:dyDescent="0.35">
      <c r="A102" s="415" t="s">
        <v>292</v>
      </c>
      <c r="B102" s="203" t="s">
        <v>250</v>
      </c>
      <c r="C102" s="243" t="s">
        <v>323</v>
      </c>
      <c r="D102" s="203" t="s">
        <v>324</v>
      </c>
      <c r="E102" s="420" t="s">
        <v>329</v>
      </c>
      <c r="F102" s="421">
        <v>36</v>
      </c>
      <c r="G102" s="210" t="s">
        <v>204</v>
      </c>
      <c r="H102" s="385"/>
    </row>
    <row r="103" spans="1:8" ht="15" thickBot="1" x14ac:dyDescent="0.35">
      <c r="A103" s="255"/>
      <c r="B103" s="212"/>
      <c r="C103" s="213"/>
      <c r="D103" s="213"/>
      <c r="E103" s="256" t="s">
        <v>229</v>
      </c>
      <c r="F103" s="422">
        <f>(F94+F95+F97+F98+F102)</f>
        <v>81</v>
      </c>
      <c r="G103" s="216"/>
      <c r="H103" s="259"/>
    </row>
    <row r="104" spans="1:8" ht="15" thickBot="1" x14ac:dyDescent="0.35">
      <c r="A104" s="260"/>
      <c r="B104" s="261"/>
      <c r="C104" s="261"/>
      <c r="D104" s="261"/>
      <c r="E104" s="261"/>
      <c r="F104" s="262"/>
      <c r="G104" s="261"/>
      <c r="H104" s="263"/>
    </row>
  </sheetData>
  <mergeCells count="13">
    <mergeCell ref="A91:H91"/>
    <mergeCell ref="A3:H3"/>
    <mergeCell ref="A5:D5"/>
    <mergeCell ref="F5:G5"/>
    <mergeCell ref="A7:H7"/>
    <mergeCell ref="A21:H21"/>
    <mergeCell ref="A39:D39"/>
    <mergeCell ref="F39:G39"/>
    <mergeCell ref="A41:H41"/>
    <mergeCell ref="A56:H56"/>
    <mergeCell ref="A73:D73"/>
    <mergeCell ref="F73:G73"/>
    <mergeCell ref="A75:H7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D2F3B-84BB-4FA3-9EC2-99FBE29B54CC}">
  <dimension ref="A1:J105"/>
  <sheetViews>
    <sheetView workbookViewId="0"/>
  </sheetViews>
  <sheetFormatPr defaultRowHeight="14.4" x14ac:dyDescent="0.3"/>
  <cols>
    <col min="1" max="1" width="13.5546875" customWidth="1"/>
    <col min="2" max="2" width="16.109375" customWidth="1"/>
    <col min="3" max="3" width="21.44140625" customWidth="1"/>
    <col min="4" max="4" width="29.6640625" customWidth="1"/>
    <col min="5" max="5" width="18" customWidth="1"/>
    <col min="6" max="6" width="8.88671875" style="151"/>
    <col min="7" max="7" width="21.33203125" bestFit="1" customWidth="1"/>
    <col min="8" max="8" width="19.77734375" customWidth="1"/>
    <col min="257" max="257" width="13.5546875" customWidth="1"/>
    <col min="258" max="258" width="16.109375" customWidth="1"/>
    <col min="259" max="259" width="21.44140625" customWidth="1"/>
    <col min="260" max="260" width="29.6640625" customWidth="1"/>
    <col min="261" max="261" width="18" customWidth="1"/>
    <col min="263" max="263" width="21.33203125" bestFit="1" customWidth="1"/>
    <col min="264" max="264" width="19.77734375" customWidth="1"/>
    <col min="513" max="513" width="13.5546875" customWidth="1"/>
    <col min="514" max="514" width="16.109375" customWidth="1"/>
    <col min="515" max="515" width="21.44140625" customWidth="1"/>
    <col min="516" max="516" width="29.6640625" customWidth="1"/>
    <col min="517" max="517" width="18" customWidth="1"/>
    <col min="519" max="519" width="21.33203125" bestFit="1" customWidth="1"/>
    <col min="520" max="520" width="19.77734375" customWidth="1"/>
    <col min="769" max="769" width="13.5546875" customWidth="1"/>
    <col min="770" max="770" width="16.109375" customWidth="1"/>
    <col min="771" max="771" width="21.44140625" customWidth="1"/>
    <col min="772" max="772" width="29.6640625" customWidth="1"/>
    <col min="773" max="773" width="18" customWidth="1"/>
    <col min="775" max="775" width="21.33203125" bestFit="1" customWidth="1"/>
    <col min="776" max="776" width="19.77734375" customWidth="1"/>
    <col min="1025" max="1025" width="13.5546875" customWidth="1"/>
    <col min="1026" max="1026" width="16.109375" customWidth="1"/>
    <col min="1027" max="1027" width="21.44140625" customWidth="1"/>
    <col min="1028" max="1028" width="29.6640625" customWidth="1"/>
    <col min="1029" max="1029" width="18" customWidth="1"/>
    <col min="1031" max="1031" width="21.33203125" bestFit="1" customWidth="1"/>
    <col min="1032" max="1032" width="19.77734375" customWidth="1"/>
    <col min="1281" max="1281" width="13.5546875" customWidth="1"/>
    <col min="1282" max="1282" width="16.109375" customWidth="1"/>
    <col min="1283" max="1283" width="21.44140625" customWidth="1"/>
    <col min="1284" max="1284" width="29.6640625" customWidth="1"/>
    <col min="1285" max="1285" width="18" customWidth="1"/>
    <col min="1287" max="1287" width="21.33203125" bestFit="1" customWidth="1"/>
    <col min="1288" max="1288" width="19.77734375" customWidth="1"/>
    <col min="1537" max="1537" width="13.5546875" customWidth="1"/>
    <col min="1538" max="1538" width="16.109375" customWidth="1"/>
    <col min="1539" max="1539" width="21.44140625" customWidth="1"/>
    <col min="1540" max="1540" width="29.6640625" customWidth="1"/>
    <col min="1541" max="1541" width="18" customWidth="1"/>
    <col min="1543" max="1543" width="21.33203125" bestFit="1" customWidth="1"/>
    <col min="1544" max="1544" width="19.77734375" customWidth="1"/>
    <col min="1793" max="1793" width="13.5546875" customWidth="1"/>
    <col min="1794" max="1794" width="16.109375" customWidth="1"/>
    <col min="1795" max="1795" width="21.44140625" customWidth="1"/>
    <col min="1796" max="1796" width="29.6640625" customWidth="1"/>
    <col min="1797" max="1797" width="18" customWidth="1"/>
    <col min="1799" max="1799" width="21.33203125" bestFit="1" customWidth="1"/>
    <col min="1800" max="1800" width="19.77734375" customWidth="1"/>
    <col min="2049" max="2049" width="13.5546875" customWidth="1"/>
    <col min="2050" max="2050" width="16.109375" customWidth="1"/>
    <col min="2051" max="2051" width="21.44140625" customWidth="1"/>
    <col min="2052" max="2052" width="29.6640625" customWidth="1"/>
    <col min="2053" max="2053" width="18" customWidth="1"/>
    <col min="2055" max="2055" width="21.33203125" bestFit="1" customWidth="1"/>
    <col min="2056" max="2056" width="19.77734375" customWidth="1"/>
    <col min="2305" max="2305" width="13.5546875" customWidth="1"/>
    <col min="2306" max="2306" width="16.109375" customWidth="1"/>
    <col min="2307" max="2307" width="21.44140625" customWidth="1"/>
    <col min="2308" max="2308" width="29.6640625" customWidth="1"/>
    <col min="2309" max="2309" width="18" customWidth="1"/>
    <col min="2311" max="2311" width="21.33203125" bestFit="1" customWidth="1"/>
    <col min="2312" max="2312" width="19.77734375" customWidth="1"/>
    <col min="2561" max="2561" width="13.5546875" customWidth="1"/>
    <col min="2562" max="2562" width="16.109375" customWidth="1"/>
    <col min="2563" max="2563" width="21.44140625" customWidth="1"/>
    <col min="2564" max="2564" width="29.6640625" customWidth="1"/>
    <col min="2565" max="2565" width="18" customWidth="1"/>
    <col min="2567" max="2567" width="21.33203125" bestFit="1" customWidth="1"/>
    <col min="2568" max="2568" width="19.77734375" customWidth="1"/>
    <col min="2817" max="2817" width="13.5546875" customWidth="1"/>
    <col min="2818" max="2818" width="16.109375" customWidth="1"/>
    <col min="2819" max="2819" width="21.44140625" customWidth="1"/>
    <col min="2820" max="2820" width="29.6640625" customWidth="1"/>
    <col min="2821" max="2821" width="18" customWidth="1"/>
    <col min="2823" max="2823" width="21.33203125" bestFit="1" customWidth="1"/>
    <col min="2824" max="2824" width="19.77734375" customWidth="1"/>
    <col min="3073" max="3073" width="13.5546875" customWidth="1"/>
    <col min="3074" max="3074" width="16.109375" customWidth="1"/>
    <col min="3075" max="3075" width="21.44140625" customWidth="1"/>
    <col min="3076" max="3076" width="29.6640625" customWidth="1"/>
    <col min="3077" max="3077" width="18" customWidth="1"/>
    <col min="3079" max="3079" width="21.33203125" bestFit="1" customWidth="1"/>
    <col min="3080" max="3080" width="19.77734375" customWidth="1"/>
    <col min="3329" max="3329" width="13.5546875" customWidth="1"/>
    <col min="3330" max="3330" width="16.109375" customWidth="1"/>
    <col min="3331" max="3331" width="21.44140625" customWidth="1"/>
    <col min="3332" max="3332" width="29.6640625" customWidth="1"/>
    <col min="3333" max="3333" width="18" customWidth="1"/>
    <col min="3335" max="3335" width="21.33203125" bestFit="1" customWidth="1"/>
    <col min="3336" max="3336" width="19.77734375" customWidth="1"/>
    <col min="3585" max="3585" width="13.5546875" customWidth="1"/>
    <col min="3586" max="3586" width="16.109375" customWidth="1"/>
    <col min="3587" max="3587" width="21.44140625" customWidth="1"/>
    <col min="3588" max="3588" width="29.6640625" customWidth="1"/>
    <col min="3589" max="3589" width="18" customWidth="1"/>
    <col min="3591" max="3591" width="21.33203125" bestFit="1" customWidth="1"/>
    <col min="3592" max="3592" width="19.77734375" customWidth="1"/>
    <col min="3841" max="3841" width="13.5546875" customWidth="1"/>
    <col min="3842" max="3842" width="16.109375" customWidth="1"/>
    <col min="3843" max="3843" width="21.44140625" customWidth="1"/>
    <col min="3844" max="3844" width="29.6640625" customWidth="1"/>
    <col min="3845" max="3845" width="18" customWidth="1"/>
    <col min="3847" max="3847" width="21.33203125" bestFit="1" customWidth="1"/>
    <col min="3848" max="3848" width="19.77734375" customWidth="1"/>
    <col min="4097" max="4097" width="13.5546875" customWidth="1"/>
    <col min="4098" max="4098" width="16.109375" customWidth="1"/>
    <col min="4099" max="4099" width="21.44140625" customWidth="1"/>
    <col min="4100" max="4100" width="29.6640625" customWidth="1"/>
    <col min="4101" max="4101" width="18" customWidth="1"/>
    <col min="4103" max="4103" width="21.33203125" bestFit="1" customWidth="1"/>
    <col min="4104" max="4104" width="19.77734375" customWidth="1"/>
    <col min="4353" max="4353" width="13.5546875" customWidth="1"/>
    <col min="4354" max="4354" width="16.109375" customWidth="1"/>
    <col min="4355" max="4355" width="21.44140625" customWidth="1"/>
    <col min="4356" max="4356" width="29.6640625" customWidth="1"/>
    <col min="4357" max="4357" width="18" customWidth="1"/>
    <col min="4359" max="4359" width="21.33203125" bestFit="1" customWidth="1"/>
    <col min="4360" max="4360" width="19.77734375" customWidth="1"/>
    <col min="4609" max="4609" width="13.5546875" customWidth="1"/>
    <col min="4610" max="4610" width="16.109375" customWidth="1"/>
    <col min="4611" max="4611" width="21.44140625" customWidth="1"/>
    <col min="4612" max="4612" width="29.6640625" customWidth="1"/>
    <col min="4613" max="4613" width="18" customWidth="1"/>
    <col min="4615" max="4615" width="21.33203125" bestFit="1" customWidth="1"/>
    <col min="4616" max="4616" width="19.77734375" customWidth="1"/>
    <col min="4865" max="4865" width="13.5546875" customWidth="1"/>
    <col min="4866" max="4866" width="16.109375" customWidth="1"/>
    <col min="4867" max="4867" width="21.44140625" customWidth="1"/>
    <col min="4868" max="4868" width="29.6640625" customWidth="1"/>
    <col min="4869" max="4869" width="18" customWidth="1"/>
    <col min="4871" max="4871" width="21.33203125" bestFit="1" customWidth="1"/>
    <col min="4872" max="4872" width="19.77734375" customWidth="1"/>
    <col min="5121" max="5121" width="13.5546875" customWidth="1"/>
    <col min="5122" max="5122" width="16.109375" customWidth="1"/>
    <col min="5123" max="5123" width="21.44140625" customWidth="1"/>
    <col min="5124" max="5124" width="29.6640625" customWidth="1"/>
    <col min="5125" max="5125" width="18" customWidth="1"/>
    <col min="5127" max="5127" width="21.33203125" bestFit="1" customWidth="1"/>
    <col min="5128" max="5128" width="19.77734375" customWidth="1"/>
    <col min="5377" max="5377" width="13.5546875" customWidth="1"/>
    <col min="5378" max="5378" width="16.109375" customWidth="1"/>
    <col min="5379" max="5379" width="21.44140625" customWidth="1"/>
    <col min="5380" max="5380" width="29.6640625" customWidth="1"/>
    <col min="5381" max="5381" width="18" customWidth="1"/>
    <col min="5383" max="5383" width="21.33203125" bestFit="1" customWidth="1"/>
    <col min="5384" max="5384" width="19.77734375" customWidth="1"/>
    <col min="5633" max="5633" width="13.5546875" customWidth="1"/>
    <col min="5634" max="5634" width="16.109375" customWidth="1"/>
    <col min="5635" max="5635" width="21.44140625" customWidth="1"/>
    <col min="5636" max="5636" width="29.6640625" customWidth="1"/>
    <col min="5637" max="5637" width="18" customWidth="1"/>
    <col min="5639" max="5639" width="21.33203125" bestFit="1" customWidth="1"/>
    <col min="5640" max="5640" width="19.77734375" customWidth="1"/>
    <col min="5889" max="5889" width="13.5546875" customWidth="1"/>
    <col min="5890" max="5890" width="16.109375" customWidth="1"/>
    <col min="5891" max="5891" width="21.44140625" customWidth="1"/>
    <col min="5892" max="5892" width="29.6640625" customWidth="1"/>
    <col min="5893" max="5893" width="18" customWidth="1"/>
    <col min="5895" max="5895" width="21.33203125" bestFit="1" customWidth="1"/>
    <col min="5896" max="5896" width="19.77734375" customWidth="1"/>
    <col min="6145" max="6145" width="13.5546875" customWidth="1"/>
    <col min="6146" max="6146" width="16.109375" customWidth="1"/>
    <col min="6147" max="6147" width="21.44140625" customWidth="1"/>
    <col min="6148" max="6148" width="29.6640625" customWidth="1"/>
    <col min="6149" max="6149" width="18" customWidth="1"/>
    <col min="6151" max="6151" width="21.33203125" bestFit="1" customWidth="1"/>
    <col min="6152" max="6152" width="19.77734375" customWidth="1"/>
    <col min="6401" max="6401" width="13.5546875" customWidth="1"/>
    <col min="6402" max="6402" width="16.109375" customWidth="1"/>
    <col min="6403" max="6403" width="21.44140625" customWidth="1"/>
    <col min="6404" max="6404" width="29.6640625" customWidth="1"/>
    <col min="6405" max="6405" width="18" customWidth="1"/>
    <col min="6407" max="6407" width="21.33203125" bestFit="1" customWidth="1"/>
    <col min="6408" max="6408" width="19.77734375" customWidth="1"/>
    <col min="6657" max="6657" width="13.5546875" customWidth="1"/>
    <col min="6658" max="6658" width="16.109375" customWidth="1"/>
    <col min="6659" max="6659" width="21.44140625" customWidth="1"/>
    <col min="6660" max="6660" width="29.6640625" customWidth="1"/>
    <col min="6661" max="6661" width="18" customWidth="1"/>
    <col min="6663" max="6663" width="21.33203125" bestFit="1" customWidth="1"/>
    <col min="6664" max="6664" width="19.77734375" customWidth="1"/>
    <col min="6913" max="6913" width="13.5546875" customWidth="1"/>
    <col min="6914" max="6914" width="16.109375" customWidth="1"/>
    <col min="6915" max="6915" width="21.44140625" customWidth="1"/>
    <col min="6916" max="6916" width="29.6640625" customWidth="1"/>
    <col min="6917" max="6917" width="18" customWidth="1"/>
    <col min="6919" max="6919" width="21.33203125" bestFit="1" customWidth="1"/>
    <col min="6920" max="6920" width="19.77734375" customWidth="1"/>
    <col min="7169" max="7169" width="13.5546875" customWidth="1"/>
    <col min="7170" max="7170" width="16.109375" customWidth="1"/>
    <col min="7171" max="7171" width="21.44140625" customWidth="1"/>
    <col min="7172" max="7172" width="29.6640625" customWidth="1"/>
    <col min="7173" max="7173" width="18" customWidth="1"/>
    <col min="7175" max="7175" width="21.33203125" bestFit="1" customWidth="1"/>
    <col min="7176" max="7176" width="19.77734375" customWidth="1"/>
    <col min="7425" max="7425" width="13.5546875" customWidth="1"/>
    <col min="7426" max="7426" width="16.109375" customWidth="1"/>
    <col min="7427" max="7427" width="21.44140625" customWidth="1"/>
    <col min="7428" max="7428" width="29.6640625" customWidth="1"/>
    <col min="7429" max="7429" width="18" customWidth="1"/>
    <col min="7431" max="7431" width="21.33203125" bestFit="1" customWidth="1"/>
    <col min="7432" max="7432" width="19.77734375" customWidth="1"/>
    <col min="7681" max="7681" width="13.5546875" customWidth="1"/>
    <col min="7682" max="7682" width="16.109375" customWidth="1"/>
    <col min="7683" max="7683" width="21.44140625" customWidth="1"/>
    <col min="7684" max="7684" width="29.6640625" customWidth="1"/>
    <col min="7685" max="7685" width="18" customWidth="1"/>
    <col min="7687" max="7687" width="21.33203125" bestFit="1" customWidth="1"/>
    <col min="7688" max="7688" width="19.77734375" customWidth="1"/>
    <col min="7937" max="7937" width="13.5546875" customWidth="1"/>
    <col min="7938" max="7938" width="16.109375" customWidth="1"/>
    <col min="7939" max="7939" width="21.44140625" customWidth="1"/>
    <col min="7940" max="7940" width="29.6640625" customWidth="1"/>
    <col min="7941" max="7941" width="18" customWidth="1"/>
    <col min="7943" max="7943" width="21.33203125" bestFit="1" customWidth="1"/>
    <col min="7944" max="7944" width="19.77734375" customWidth="1"/>
    <col min="8193" max="8193" width="13.5546875" customWidth="1"/>
    <col min="8194" max="8194" width="16.109375" customWidth="1"/>
    <col min="8195" max="8195" width="21.44140625" customWidth="1"/>
    <col min="8196" max="8196" width="29.6640625" customWidth="1"/>
    <col min="8197" max="8197" width="18" customWidth="1"/>
    <col min="8199" max="8199" width="21.33203125" bestFit="1" customWidth="1"/>
    <col min="8200" max="8200" width="19.77734375" customWidth="1"/>
    <col min="8449" max="8449" width="13.5546875" customWidth="1"/>
    <col min="8450" max="8450" width="16.109375" customWidth="1"/>
    <col min="8451" max="8451" width="21.44140625" customWidth="1"/>
    <col min="8452" max="8452" width="29.6640625" customWidth="1"/>
    <col min="8453" max="8453" width="18" customWidth="1"/>
    <col min="8455" max="8455" width="21.33203125" bestFit="1" customWidth="1"/>
    <col min="8456" max="8456" width="19.77734375" customWidth="1"/>
    <col min="8705" max="8705" width="13.5546875" customWidth="1"/>
    <col min="8706" max="8706" width="16.109375" customWidth="1"/>
    <col min="8707" max="8707" width="21.44140625" customWidth="1"/>
    <col min="8708" max="8708" width="29.6640625" customWidth="1"/>
    <col min="8709" max="8709" width="18" customWidth="1"/>
    <col min="8711" max="8711" width="21.33203125" bestFit="1" customWidth="1"/>
    <col min="8712" max="8712" width="19.77734375" customWidth="1"/>
    <col min="8961" max="8961" width="13.5546875" customWidth="1"/>
    <col min="8962" max="8962" width="16.109375" customWidth="1"/>
    <col min="8963" max="8963" width="21.44140625" customWidth="1"/>
    <col min="8964" max="8964" width="29.6640625" customWidth="1"/>
    <col min="8965" max="8965" width="18" customWidth="1"/>
    <col min="8967" max="8967" width="21.33203125" bestFit="1" customWidth="1"/>
    <col min="8968" max="8968" width="19.77734375" customWidth="1"/>
    <col min="9217" max="9217" width="13.5546875" customWidth="1"/>
    <col min="9218" max="9218" width="16.109375" customWidth="1"/>
    <col min="9219" max="9219" width="21.44140625" customWidth="1"/>
    <col min="9220" max="9220" width="29.6640625" customWidth="1"/>
    <col min="9221" max="9221" width="18" customWidth="1"/>
    <col min="9223" max="9223" width="21.33203125" bestFit="1" customWidth="1"/>
    <col min="9224" max="9224" width="19.77734375" customWidth="1"/>
    <col min="9473" max="9473" width="13.5546875" customWidth="1"/>
    <col min="9474" max="9474" width="16.109375" customWidth="1"/>
    <col min="9475" max="9475" width="21.44140625" customWidth="1"/>
    <col min="9476" max="9476" width="29.6640625" customWidth="1"/>
    <col min="9477" max="9477" width="18" customWidth="1"/>
    <col min="9479" max="9479" width="21.33203125" bestFit="1" customWidth="1"/>
    <col min="9480" max="9480" width="19.77734375" customWidth="1"/>
    <col min="9729" max="9729" width="13.5546875" customWidth="1"/>
    <col min="9730" max="9730" width="16.109375" customWidth="1"/>
    <col min="9731" max="9731" width="21.44140625" customWidth="1"/>
    <col min="9732" max="9732" width="29.6640625" customWidth="1"/>
    <col min="9733" max="9733" width="18" customWidth="1"/>
    <col min="9735" max="9735" width="21.33203125" bestFit="1" customWidth="1"/>
    <col min="9736" max="9736" width="19.77734375" customWidth="1"/>
    <col min="9985" max="9985" width="13.5546875" customWidth="1"/>
    <col min="9986" max="9986" width="16.109375" customWidth="1"/>
    <col min="9987" max="9987" width="21.44140625" customWidth="1"/>
    <col min="9988" max="9988" width="29.6640625" customWidth="1"/>
    <col min="9989" max="9989" width="18" customWidth="1"/>
    <col min="9991" max="9991" width="21.33203125" bestFit="1" customWidth="1"/>
    <col min="9992" max="9992" width="19.77734375" customWidth="1"/>
    <col min="10241" max="10241" width="13.5546875" customWidth="1"/>
    <col min="10242" max="10242" width="16.109375" customWidth="1"/>
    <col min="10243" max="10243" width="21.44140625" customWidth="1"/>
    <col min="10244" max="10244" width="29.6640625" customWidth="1"/>
    <col min="10245" max="10245" width="18" customWidth="1"/>
    <col min="10247" max="10247" width="21.33203125" bestFit="1" customWidth="1"/>
    <col min="10248" max="10248" width="19.77734375" customWidth="1"/>
    <col min="10497" max="10497" width="13.5546875" customWidth="1"/>
    <col min="10498" max="10498" width="16.109375" customWidth="1"/>
    <col min="10499" max="10499" width="21.44140625" customWidth="1"/>
    <col min="10500" max="10500" width="29.6640625" customWidth="1"/>
    <col min="10501" max="10501" width="18" customWidth="1"/>
    <col min="10503" max="10503" width="21.33203125" bestFit="1" customWidth="1"/>
    <col min="10504" max="10504" width="19.77734375" customWidth="1"/>
    <col min="10753" max="10753" width="13.5546875" customWidth="1"/>
    <col min="10754" max="10754" width="16.109375" customWidth="1"/>
    <col min="10755" max="10755" width="21.44140625" customWidth="1"/>
    <col min="10756" max="10756" width="29.6640625" customWidth="1"/>
    <col min="10757" max="10757" width="18" customWidth="1"/>
    <col min="10759" max="10759" width="21.33203125" bestFit="1" customWidth="1"/>
    <col min="10760" max="10760" width="19.77734375" customWidth="1"/>
    <col min="11009" max="11009" width="13.5546875" customWidth="1"/>
    <col min="11010" max="11010" width="16.109375" customWidth="1"/>
    <col min="11011" max="11011" width="21.44140625" customWidth="1"/>
    <col min="11012" max="11012" width="29.6640625" customWidth="1"/>
    <col min="11013" max="11013" width="18" customWidth="1"/>
    <col min="11015" max="11015" width="21.33203125" bestFit="1" customWidth="1"/>
    <col min="11016" max="11016" width="19.77734375" customWidth="1"/>
    <col min="11265" max="11265" width="13.5546875" customWidth="1"/>
    <col min="11266" max="11266" width="16.109375" customWidth="1"/>
    <col min="11267" max="11267" width="21.44140625" customWidth="1"/>
    <col min="11268" max="11268" width="29.6640625" customWidth="1"/>
    <col min="11269" max="11269" width="18" customWidth="1"/>
    <col min="11271" max="11271" width="21.33203125" bestFit="1" customWidth="1"/>
    <col min="11272" max="11272" width="19.77734375" customWidth="1"/>
    <col min="11521" max="11521" width="13.5546875" customWidth="1"/>
    <col min="11522" max="11522" width="16.109375" customWidth="1"/>
    <col min="11523" max="11523" width="21.44140625" customWidth="1"/>
    <col min="11524" max="11524" width="29.6640625" customWidth="1"/>
    <col min="11525" max="11525" width="18" customWidth="1"/>
    <col min="11527" max="11527" width="21.33203125" bestFit="1" customWidth="1"/>
    <col min="11528" max="11528" width="19.77734375" customWidth="1"/>
    <col min="11777" max="11777" width="13.5546875" customWidth="1"/>
    <col min="11778" max="11778" width="16.109375" customWidth="1"/>
    <col min="11779" max="11779" width="21.44140625" customWidth="1"/>
    <col min="11780" max="11780" width="29.6640625" customWidth="1"/>
    <col min="11781" max="11781" width="18" customWidth="1"/>
    <col min="11783" max="11783" width="21.33203125" bestFit="1" customWidth="1"/>
    <col min="11784" max="11784" width="19.77734375" customWidth="1"/>
    <col min="12033" max="12033" width="13.5546875" customWidth="1"/>
    <col min="12034" max="12034" width="16.109375" customWidth="1"/>
    <col min="12035" max="12035" width="21.44140625" customWidth="1"/>
    <col min="12036" max="12036" width="29.6640625" customWidth="1"/>
    <col min="12037" max="12037" width="18" customWidth="1"/>
    <col min="12039" max="12039" width="21.33203125" bestFit="1" customWidth="1"/>
    <col min="12040" max="12040" width="19.77734375" customWidth="1"/>
    <col min="12289" max="12289" width="13.5546875" customWidth="1"/>
    <col min="12290" max="12290" width="16.109375" customWidth="1"/>
    <col min="12291" max="12291" width="21.44140625" customWidth="1"/>
    <col min="12292" max="12292" width="29.6640625" customWidth="1"/>
    <col min="12293" max="12293" width="18" customWidth="1"/>
    <col min="12295" max="12295" width="21.33203125" bestFit="1" customWidth="1"/>
    <col min="12296" max="12296" width="19.77734375" customWidth="1"/>
    <col min="12545" max="12545" width="13.5546875" customWidth="1"/>
    <col min="12546" max="12546" width="16.109375" customWidth="1"/>
    <col min="12547" max="12547" width="21.44140625" customWidth="1"/>
    <col min="12548" max="12548" width="29.6640625" customWidth="1"/>
    <col min="12549" max="12549" width="18" customWidth="1"/>
    <col min="12551" max="12551" width="21.33203125" bestFit="1" customWidth="1"/>
    <col min="12552" max="12552" width="19.77734375" customWidth="1"/>
    <col min="12801" max="12801" width="13.5546875" customWidth="1"/>
    <col min="12802" max="12802" width="16.109375" customWidth="1"/>
    <col min="12803" max="12803" width="21.44140625" customWidth="1"/>
    <col min="12804" max="12804" width="29.6640625" customWidth="1"/>
    <col min="12805" max="12805" width="18" customWidth="1"/>
    <col min="12807" max="12807" width="21.33203125" bestFit="1" customWidth="1"/>
    <col min="12808" max="12808" width="19.77734375" customWidth="1"/>
    <col min="13057" max="13057" width="13.5546875" customWidth="1"/>
    <col min="13058" max="13058" width="16.109375" customWidth="1"/>
    <col min="13059" max="13059" width="21.44140625" customWidth="1"/>
    <col min="13060" max="13060" width="29.6640625" customWidth="1"/>
    <col min="13061" max="13061" width="18" customWidth="1"/>
    <col min="13063" max="13063" width="21.33203125" bestFit="1" customWidth="1"/>
    <col min="13064" max="13064" width="19.77734375" customWidth="1"/>
    <col min="13313" max="13313" width="13.5546875" customWidth="1"/>
    <col min="13314" max="13314" width="16.109375" customWidth="1"/>
    <col min="13315" max="13315" width="21.44140625" customWidth="1"/>
    <col min="13316" max="13316" width="29.6640625" customWidth="1"/>
    <col min="13317" max="13317" width="18" customWidth="1"/>
    <col min="13319" max="13319" width="21.33203125" bestFit="1" customWidth="1"/>
    <col min="13320" max="13320" width="19.77734375" customWidth="1"/>
    <col min="13569" max="13569" width="13.5546875" customWidth="1"/>
    <col min="13570" max="13570" width="16.109375" customWidth="1"/>
    <col min="13571" max="13571" width="21.44140625" customWidth="1"/>
    <col min="13572" max="13572" width="29.6640625" customWidth="1"/>
    <col min="13573" max="13573" width="18" customWidth="1"/>
    <col min="13575" max="13575" width="21.33203125" bestFit="1" customWidth="1"/>
    <col min="13576" max="13576" width="19.77734375" customWidth="1"/>
    <col min="13825" max="13825" width="13.5546875" customWidth="1"/>
    <col min="13826" max="13826" width="16.109375" customWidth="1"/>
    <col min="13827" max="13827" width="21.44140625" customWidth="1"/>
    <col min="13828" max="13828" width="29.6640625" customWidth="1"/>
    <col min="13829" max="13829" width="18" customWidth="1"/>
    <col min="13831" max="13831" width="21.33203125" bestFit="1" customWidth="1"/>
    <col min="13832" max="13832" width="19.77734375" customWidth="1"/>
    <col min="14081" max="14081" width="13.5546875" customWidth="1"/>
    <col min="14082" max="14082" width="16.109375" customWidth="1"/>
    <col min="14083" max="14083" width="21.44140625" customWidth="1"/>
    <col min="14084" max="14084" width="29.6640625" customWidth="1"/>
    <col min="14085" max="14085" width="18" customWidth="1"/>
    <col min="14087" max="14087" width="21.33203125" bestFit="1" customWidth="1"/>
    <col min="14088" max="14088" width="19.77734375" customWidth="1"/>
    <col min="14337" max="14337" width="13.5546875" customWidth="1"/>
    <col min="14338" max="14338" width="16.109375" customWidth="1"/>
    <col min="14339" max="14339" width="21.44140625" customWidth="1"/>
    <col min="14340" max="14340" width="29.6640625" customWidth="1"/>
    <col min="14341" max="14341" width="18" customWidth="1"/>
    <col min="14343" max="14343" width="21.33203125" bestFit="1" customWidth="1"/>
    <col min="14344" max="14344" width="19.77734375" customWidth="1"/>
    <col min="14593" max="14593" width="13.5546875" customWidth="1"/>
    <col min="14594" max="14594" width="16.109375" customWidth="1"/>
    <col min="14595" max="14595" width="21.44140625" customWidth="1"/>
    <col min="14596" max="14596" width="29.6640625" customWidth="1"/>
    <col min="14597" max="14597" width="18" customWidth="1"/>
    <col min="14599" max="14599" width="21.33203125" bestFit="1" customWidth="1"/>
    <col min="14600" max="14600" width="19.77734375" customWidth="1"/>
    <col min="14849" max="14849" width="13.5546875" customWidth="1"/>
    <col min="14850" max="14850" width="16.109375" customWidth="1"/>
    <col min="14851" max="14851" width="21.44140625" customWidth="1"/>
    <col min="14852" max="14852" width="29.6640625" customWidth="1"/>
    <col min="14853" max="14853" width="18" customWidth="1"/>
    <col min="14855" max="14855" width="21.33203125" bestFit="1" customWidth="1"/>
    <col min="14856" max="14856" width="19.77734375" customWidth="1"/>
    <col min="15105" max="15105" width="13.5546875" customWidth="1"/>
    <col min="15106" max="15106" width="16.109375" customWidth="1"/>
    <col min="15107" max="15107" width="21.44140625" customWidth="1"/>
    <col min="15108" max="15108" width="29.6640625" customWidth="1"/>
    <col min="15109" max="15109" width="18" customWidth="1"/>
    <col min="15111" max="15111" width="21.33203125" bestFit="1" customWidth="1"/>
    <col min="15112" max="15112" width="19.77734375" customWidth="1"/>
    <col min="15361" max="15361" width="13.5546875" customWidth="1"/>
    <col min="15362" max="15362" width="16.109375" customWidth="1"/>
    <col min="15363" max="15363" width="21.44140625" customWidth="1"/>
    <col min="15364" max="15364" width="29.6640625" customWidth="1"/>
    <col min="15365" max="15365" width="18" customWidth="1"/>
    <col min="15367" max="15367" width="21.33203125" bestFit="1" customWidth="1"/>
    <col min="15368" max="15368" width="19.77734375" customWidth="1"/>
    <col min="15617" max="15617" width="13.5546875" customWidth="1"/>
    <col min="15618" max="15618" width="16.109375" customWidth="1"/>
    <col min="15619" max="15619" width="21.44140625" customWidth="1"/>
    <col min="15620" max="15620" width="29.6640625" customWidth="1"/>
    <col min="15621" max="15621" width="18" customWidth="1"/>
    <col min="15623" max="15623" width="21.33203125" bestFit="1" customWidth="1"/>
    <col min="15624" max="15624" width="19.77734375" customWidth="1"/>
    <col min="15873" max="15873" width="13.5546875" customWidth="1"/>
    <col min="15874" max="15874" width="16.109375" customWidth="1"/>
    <col min="15875" max="15875" width="21.44140625" customWidth="1"/>
    <col min="15876" max="15876" width="29.6640625" customWidth="1"/>
    <col min="15877" max="15877" width="18" customWidth="1"/>
    <col min="15879" max="15879" width="21.33203125" bestFit="1" customWidth="1"/>
    <col min="15880" max="15880" width="19.77734375" customWidth="1"/>
    <col min="16129" max="16129" width="13.5546875" customWidth="1"/>
    <col min="16130" max="16130" width="16.109375" customWidth="1"/>
    <col min="16131" max="16131" width="21.44140625" customWidth="1"/>
    <col min="16132" max="16132" width="29.6640625" customWidth="1"/>
    <col min="16133" max="16133" width="18" customWidth="1"/>
    <col min="16135" max="16135" width="21.33203125" bestFit="1" customWidth="1"/>
    <col min="16136" max="16136" width="19.77734375" customWidth="1"/>
  </cols>
  <sheetData>
    <row r="1" spans="1:8" ht="21" x14ac:dyDescent="0.4">
      <c r="A1" s="150" t="s">
        <v>426</v>
      </c>
    </row>
    <row r="2" spans="1:8" ht="21.6" thickBot="1" x14ac:dyDescent="0.45">
      <c r="A2" s="150"/>
    </row>
    <row r="3" spans="1:8" ht="25.2" thickBot="1" x14ac:dyDescent="0.45">
      <c r="A3" s="511" t="s">
        <v>430</v>
      </c>
      <c r="B3" s="512"/>
      <c r="C3" s="512"/>
      <c r="D3" s="512"/>
      <c r="E3" s="512"/>
      <c r="F3" s="512"/>
      <c r="G3" s="512"/>
      <c r="H3" s="513"/>
    </row>
    <row r="4" spans="1:8" s="58" customFormat="1" ht="16.2" thickBot="1" x14ac:dyDescent="0.35">
      <c r="A4" s="152"/>
      <c r="B4" s="153"/>
      <c r="C4" s="153"/>
      <c r="D4" s="153"/>
      <c r="E4" s="154"/>
      <c r="F4" s="59"/>
      <c r="G4" s="154"/>
      <c r="H4" s="154"/>
    </row>
    <row r="5" spans="1:8" ht="28.5" customHeight="1" thickBot="1" x14ac:dyDescent="0.45">
      <c r="A5" s="514" t="s">
        <v>427</v>
      </c>
      <c r="B5" s="515"/>
      <c r="C5" s="515"/>
      <c r="D5" s="516"/>
      <c r="E5" s="155"/>
      <c r="F5" s="517"/>
      <c r="G5" s="518"/>
      <c r="H5" s="156"/>
    </row>
    <row r="6" spans="1:8" ht="15" thickBot="1" x14ac:dyDescent="0.35">
      <c r="A6" s="157"/>
      <c r="B6" s="158"/>
      <c r="C6" s="158"/>
      <c r="D6" s="158"/>
      <c r="E6" s="159"/>
      <c r="F6" s="160"/>
      <c r="G6" s="159"/>
      <c r="H6" s="161"/>
    </row>
    <row r="7" spans="1:8" ht="18" thickBot="1" x14ac:dyDescent="0.35">
      <c r="A7" s="508" t="s">
        <v>185</v>
      </c>
      <c r="B7" s="509"/>
      <c r="C7" s="509"/>
      <c r="D7" s="509"/>
      <c r="E7" s="509"/>
      <c r="F7" s="509"/>
      <c r="G7" s="509"/>
      <c r="H7" s="510"/>
    </row>
    <row r="8" spans="1:8" ht="29.4" thickBot="1" x14ac:dyDescent="0.35">
      <c r="A8" s="162" t="s">
        <v>186</v>
      </c>
      <c r="B8" s="163" t="s">
        <v>187</v>
      </c>
      <c r="C8" s="163" t="s">
        <v>188</v>
      </c>
      <c r="D8" s="163" t="s">
        <v>189</v>
      </c>
      <c r="E8" s="163" t="s">
        <v>190</v>
      </c>
      <c r="F8" s="164" t="s">
        <v>191</v>
      </c>
      <c r="G8" s="165" t="s">
        <v>192</v>
      </c>
      <c r="H8" s="166" t="s">
        <v>193</v>
      </c>
    </row>
    <row r="9" spans="1:8" ht="21" x14ac:dyDescent="0.3">
      <c r="A9" s="167" t="s">
        <v>194</v>
      </c>
      <c r="B9" s="168"/>
      <c r="C9" s="168"/>
      <c r="D9" s="168"/>
      <c r="E9" s="169"/>
      <c r="F9" s="170"/>
      <c r="G9" s="171"/>
      <c r="H9" s="171"/>
    </row>
    <row r="10" spans="1:8" ht="20.399999999999999" x14ac:dyDescent="0.3">
      <c r="A10" s="172" t="s">
        <v>195</v>
      </c>
      <c r="B10" s="193" t="s">
        <v>196</v>
      </c>
      <c r="C10" s="200" t="s">
        <v>197</v>
      </c>
      <c r="D10" s="193" t="s">
        <v>198</v>
      </c>
      <c r="E10" s="371" t="s">
        <v>325</v>
      </c>
      <c r="F10" s="173">
        <v>142</v>
      </c>
      <c r="G10" s="174" t="s">
        <v>199</v>
      </c>
      <c r="H10" s="175"/>
    </row>
    <row r="11" spans="1:8" ht="15" thickBot="1" x14ac:dyDescent="0.35">
      <c r="A11" s="176" t="s">
        <v>195</v>
      </c>
      <c r="B11" s="243" t="s">
        <v>200</v>
      </c>
      <c r="C11" s="202" t="s">
        <v>201</v>
      </c>
      <c r="D11" s="432" t="s">
        <v>202</v>
      </c>
      <c r="E11" s="416" t="s">
        <v>203</v>
      </c>
      <c r="F11" s="433">
        <v>6</v>
      </c>
      <c r="G11" s="178" t="s">
        <v>77</v>
      </c>
      <c r="H11" s="179"/>
    </row>
    <row r="12" spans="1:8" x14ac:dyDescent="0.3">
      <c r="A12" s="180" t="s">
        <v>205</v>
      </c>
      <c r="B12" s="181"/>
      <c r="C12" s="181"/>
      <c r="D12" s="181"/>
      <c r="E12" s="182"/>
      <c r="F12" s="183"/>
      <c r="G12" s="184"/>
      <c r="H12" s="185"/>
    </row>
    <row r="13" spans="1:8" x14ac:dyDescent="0.3">
      <c r="A13" s="186" t="s">
        <v>195</v>
      </c>
      <c r="B13" s="187" t="s">
        <v>206</v>
      </c>
      <c r="C13" s="188" t="s">
        <v>207</v>
      </c>
      <c r="D13" s="188" t="s">
        <v>208</v>
      </c>
      <c r="E13" s="189" t="s">
        <v>209</v>
      </c>
      <c r="F13" s="190">
        <v>65</v>
      </c>
      <c r="G13" s="191" t="s">
        <v>210</v>
      </c>
      <c r="H13" s="192"/>
    </row>
    <row r="14" spans="1:8" ht="15" thickBot="1" x14ac:dyDescent="0.35">
      <c r="A14" s="186" t="s">
        <v>195</v>
      </c>
      <c r="B14" s="187" t="s">
        <v>206</v>
      </c>
      <c r="C14" s="193" t="s">
        <v>211</v>
      </c>
      <c r="D14" s="187" t="s">
        <v>212</v>
      </c>
      <c r="E14" s="189" t="s">
        <v>213</v>
      </c>
      <c r="F14" s="190">
        <v>23</v>
      </c>
      <c r="G14" s="191" t="s">
        <v>210</v>
      </c>
      <c r="H14" s="192"/>
    </row>
    <row r="15" spans="1:8" x14ac:dyDescent="0.3">
      <c r="A15" s="194" t="s">
        <v>214</v>
      </c>
      <c r="B15" s="195"/>
      <c r="C15" s="195"/>
      <c r="D15" s="195"/>
      <c r="E15" s="196"/>
      <c r="F15" s="197"/>
      <c r="G15" s="198"/>
      <c r="H15" s="199"/>
    </row>
    <row r="16" spans="1:8" x14ac:dyDescent="0.3">
      <c r="A16" s="186" t="s">
        <v>195</v>
      </c>
      <c r="B16" s="200" t="s">
        <v>215</v>
      </c>
      <c r="C16" s="188" t="s">
        <v>216</v>
      </c>
      <c r="D16" s="188" t="s">
        <v>217</v>
      </c>
      <c r="E16" s="201" t="s">
        <v>218</v>
      </c>
      <c r="F16" s="173">
        <v>42</v>
      </c>
      <c r="G16" s="191" t="s">
        <v>219</v>
      </c>
      <c r="H16" s="192"/>
    </row>
    <row r="17" spans="1:10" ht="15" thickBot="1" x14ac:dyDescent="0.35">
      <c r="A17" s="186" t="s">
        <v>195</v>
      </c>
      <c r="B17" s="202" t="s">
        <v>215</v>
      </c>
      <c r="C17" s="203" t="s">
        <v>220</v>
      </c>
      <c r="D17" s="203" t="s">
        <v>221</v>
      </c>
      <c r="E17" s="204" t="s">
        <v>222</v>
      </c>
      <c r="F17" s="205">
        <v>63</v>
      </c>
      <c r="G17" s="191" t="s">
        <v>219</v>
      </c>
      <c r="H17" s="192"/>
    </row>
    <row r="18" spans="1:10" x14ac:dyDescent="0.3">
      <c r="A18" s="194" t="s">
        <v>223</v>
      </c>
      <c r="B18" s="195"/>
      <c r="C18" s="195"/>
      <c r="D18" s="195"/>
      <c r="E18" s="196"/>
      <c r="F18" s="197"/>
      <c r="G18" s="206"/>
      <c r="H18" s="207"/>
    </row>
    <row r="19" spans="1:10" ht="15" thickBot="1" x14ac:dyDescent="0.35">
      <c r="A19" s="208" t="s">
        <v>195</v>
      </c>
      <c r="B19" s="202" t="s">
        <v>224</v>
      </c>
      <c r="C19" s="203" t="s">
        <v>225</v>
      </c>
      <c r="D19" s="203" t="s">
        <v>226</v>
      </c>
      <c r="E19" s="209" t="s">
        <v>227</v>
      </c>
      <c r="F19" s="205">
        <v>63</v>
      </c>
      <c r="G19" s="210" t="s">
        <v>228</v>
      </c>
      <c r="H19" s="211"/>
    </row>
    <row r="20" spans="1:10" ht="15" thickBot="1" x14ac:dyDescent="0.35">
      <c r="B20" s="212"/>
      <c r="C20" s="213"/>
      <c r="D20" s="213"/>
      <c r="E20" s="214" t="s">
        <v>229</v>
      </c>
      <c r="F20" s="215">
        <f>SUM(F10:F11,F13:F14,F16:F17,F19)</f>
        <v>404</v>
      </c>
      <c r="G20" s="216"/>
      <c r="H20" s="217"/>
    </row>
    <row r="21" spans="1:10" ht="18" thickBot="1" x14ac:dyDescent="0.35">
      <c r="A21" s="508" t="s">
        <v>230</v>
      </c>
      <c r="B21" s="509"/>
      <c r="C21" s="509"/>
      <c r="D21" s="509"/>
      <c r="E21" s="509"/>
      <c r="F21" s="509"/>
      <c r="G21" s="509"/>
      <c r="H21" s="510"/>
    </row>
    <row r="22" spans="1:10" ht="29.4" thickBot="1" x14ac:dyDescent="0.35">
      <c r="A22" s="162" t="s">
        <v>231</v>
      </c>
      <c r="B22" s="163" t="s">
        <v>187</v>
      </c>
      <c r="C22" s="163" t="s">
        <v>188</v>
      </c>
      <c r="D22" s="163" t="s">
        <v>189</v>
      </c>
      <c r="E22" s="163" t="s">
        <v>190</v>
      </c>
      <c r="F22" s="164" t="s">
        <v>191</v>
      </c>
      <c r="G22" s="165" t="s">
        <v>192</v>
      </c>
      <c r="H22" s="166" t="s">
        <v>193</v>
      </c>
    </row>
    <row r="23" spans="1:10" ht="21" x14ac:dyDescent="0.3">
      <c r="A23" s="167" t="s">
        <v>194</v>
      </c>
      <c r="B23" s="168"/>
      <c r="C23" s="168"/>
      <c r="D23" s="168"/>
      <c r="E23" s="169"/>
      <c r="F23" s="218"/>
      <c r="G23" s="171"/>
      <c r="H23" s="171"/>
    </row>
    <row r="24" spans="1:10" x14ac:dyDescent="0.3">
      <c r="A24" s="219" t="s">
        <v>195</v>
      </c>
      <c r="B24" s="220" t="s">
        <v>232</v>
      </c>
      <c r="C24" s="221" t="s">
        <v>233</v>
      </c>
      <c r="D24" s="221" t="s">
        <v>234</v>
      </c>
      <c r="E24" s="222" t="s">
        <v>326</v>
      </c>
      <c r="F24" s="223">
        <v>28</v>
      </c>
      <c r="G24" s="224" t="s">
        <v>235</v>
      </c>
      <c r="H24" s="175"/>
    </row>
    <row r="25" spans="1:10" s="229" customFormat="1" ht="20.399999999999999" x14ac:dyDescent="0.3">
      <c r="A25" s="225" t="s">
        <v>195</v>
      </c>
      <c r="B25" s="188" t="s">
        <v>236</v>
      </c>
      <c r="C25" s="193" t="s">
        <v>237</v>
      </c>
      <c r="D25" s="226" t="s">
        <v>238</v>
      </c>
      <c r="E25" s="371" t="s">
        <v>327</v>
      </c>
      <c r="F25" s="227">
        <v>6</v>
      </c>
      <c r="G25" s="191" t="s">
        <v>338</v>
      </c>
      <c r="H25" s="174"/>
      <c r="I25" s="228"/>
    </row>
    <row r="26" spans="1:10" ht="15" thickBot="1" x14ac:dyDescent="0.35">
      <c r="A26" s="186" t="s">
        <v>195</v>
      </c>
      <c r="B26" s="230"/>
      <c r="C26" s="230"/>
      <c r="D26" s="231"/>
      <c r="E26" s="232"/>
      <c r="F26" s="233"/>
      <c r="G26" s="234"/>
      <c r="H26" s="235"/>
    </row>
    <row r="27" spans="1:10" x14ac:dyDescent="0.3">
      <c r="A27" s="194" t="s">
        <v>205</v>
      </c>
      <c r="B27" s="195"/>
      <c r="C27" s="195"/>
      <c r="D27" s="195"/>
      <c r="E27" s="236"/>
      <c r="F27" s="237"/>
      <c r="G27" s="238"/>
      <c r="H27" s="239"/>
    </row>
    <row r="28" spans="1:10" x14ac:dyDescent="0.3">
      <c r="A28" s="186" t="s">
        <v>195</v>
      </c>
      <c r="B28" s="187" t="s">
        <v>239</v>
      </c>
      <c r="C28" s="193" t="s">
        <v>318</v>
      </c>
      <c r="D28" s="187" t="s">
        <v>319</v>
      </c>
      <c r="E28" s="189" t="s">
        <v>320</v>
      </c>
      <c r="F28" s="441">
        <v>12</v>
      </c>
      <c r="G28" s="191" t="s">
        <v>210</v>
      </c>
      <c r="H28" s="192"/>
      <c r="J28" s="240"/>
    </row>
    <row r="29" spans="1:10" ht="15" thickBot="1" x14ac:dyDescent="0.35">
      <c r="A29" s="241" t="s">
        <v>195</v>
      </c>
      <c r="B29" s="242" t="s">
        <v>239</v>
      </c>
      <c r="C29" s="243" t="s">
        <v>321</v>
      </c>
      <c r="D29" s="242" t="s">
        <v>322</v>
      </c>
      <c r="E29" s="244" t="s">
        <v>328</v>
      </c>
      <c r="F29" s="444">
        <v>0</v>
      </c>
      <c r="G29" s="245" t="s">
        <v>64</v>
      </c>
      <c r="H29" s="192"/>
    </row>
    <row r="30" spans="1:10" x14ac:dyDescent="0.3">
      <c r="A30" s="194" t="s">
        <v>214</v>
      </c>
      <c r="B30" s="195"/>
      <c r="C30" s="246"/>
      <c r="D30" s="195"/>
      <c r="E30" s="236"/>
      <c r="F30" s="247"/>
      <c r="G30" s="198"/>
      <c r="H30" s="199"/>
    </row>
    <row r="31" spans="1:10" x14ac:dyDescent="0.3">
      <c r="A31" s="186" t="s">
        <v>195</v>
      </c>
      <c r="B31" s="248" t="s">
        <v>242</v>
      </c>
      <c r="C31" s="248" t="s">
        <v>243</v>
      </c>
      <c r="D31" s="248" t="s">
        <v>244</v>
      </c>
      <c r="E31" s="201" t="s">
        <v>245</v>
      </c>
      <c r="F31" s="441">
        <v>31</v>
      </c>
      <c r="G31" s="191" t="s">
        <v>219</v>
      </c>
      <c r="H31" s="192"/>
    </row>
    <row r="32" spans="1:10" ht="21" thickBot="1" x14ac:dyDescent="0.35">
      <c r="A32" s="241" t="s">
        <v>195</v>
      </c>
      <c r="B32" s="248" t="s">
        <v>242</v>
      </c>
      <c r="C32" s="200" t="s">
        <v>246</v>
      </c>
      <c r="D32" s="248" t="s">
        <v>247</v>
      </c>
      <c r="E32" s="201" t="s">
        <v>248</v>
      </c>
      <c r="F32" s="249">
        <v>33</v>
      </c>
      <c r="G32" s="250" t="s">
        <v>219</v>
      </c>
      <c r="H32" s="250" t="s">
        <v>249</v>
      </c>
    </row>
    <row r="33" spans="1:8" x14ac:dyDescent="0.3">
      <c r="A33" s="194" t="s">
        <v>223</v>
      </c>
      <c r="B33" s="195"/>
      <c r="C33" s="195"/>
      <c r="D33" s="195"/>
      <c r="E33" s="236"/>
      <c r="F33" s="251"/>
      <c r="G33" s="238"/>
      <c r="H33" s="207"/>
    </row>
    <row r="34" spans="1:8" x14ac:dyDescent="0.3">
      <c r="A34" s="186" t="s">
        <v>195</v>
      </c>
      <c r="B34" s="193" t="s">
        <v>250</v>
      </c>
      <c r="C34" s="193" t="s">
        <v>251</v>
      </c>
      <c r="D34" s="193" t="s">
        <v>252</v>
      </c>
      <c r="E34" s="201" t="s">
        <v>253</v>
      </c>
      <c r="F34" s="441">
        <v>34</v>
      </c>
      <c r="G34" s="252" t="s">
        <v>228</v>
      </c>
      <c r="H34" s="434"/>
    </row>
    <row r="35" spans="1:8" ht="28.8" customHeight="1" thickBot="1" x14ac:dyDescent="0.35">
      <c r="A35" s="253" t="s">
        <v>195</v>
      </c>
      <c r="B35" s="531" t="s">
        <v>250</v>
      </c>
      <c r="C35" s="531" t="s">
        <v>254</v>
      </c>
      <c r="D35" s="531" t="s">
        <v>255</v>
      </c>
      <c r="E35" s="532" t="s">
        <v>438</v>
      </c>
      <c r="F35" s="533">
        <v>40</v>
      </c>
      <c r="G35" s="534" t="s">
        <v>443</v>
      </c>
      <c r="H35" s="526" t="s">
        <v>441</v>
      </c>
    </row>
    <row r="36" spans="1:8" ht="15" thickBot="1" x14ac:dyDescent="0.35">
      <c r="A36" s="255"/>
      <c r="B36" s="212"/>
      <c r="C36" s="213"/>
      <c r="D36" s="213"/>
      <c r="E36" s="256" t="s">
        <v>229</v>
      </c>
      <c r="F36" s="257">
        <f>F24+F25+F28+F31+F32+F34+F35</f>
        <v>184</v>
      </c>
      <c r="G36" s="258"/>
      <c r="H36" s="259"/>
    </row>
    <row r="37" spans="1:8" ht="15" thickBot="1" x14ac:dyDescent="0.35">
      <c r="A37" s="260"/>
      <c r="B37" s="261"/>
      <c r="C37" s="261"/>
      <c r="D37" s="261"/>
      <c r="E37" s="261"/>
      <c r="F37" s="262"/>
      <c r="G37" s="261"/>
      <c r="H37" s="263"/>
    </row>
    <row r="38" spans="1:8" ht="15" thickBot="1" x14ac:dyDescent="0.35">
      <c r="A38" s="264"/>
      <c r="B38" s="265"/>
      <c r="C38" s="265"/>
      <c r="D38" s="265"/>
      <c r="E38" s="265"/>
      <c r="F38" s="266"/>
      <c r="G38" s="265"/>
      <c r="H38" s="267"/>
    </row>
    <row r="39" spans="1:8" ht="40.950000000000003" customHeight="1" thickBot="1" x14ac:dyDescent="0.35">
      <c r="A39" s="519" t="s">
        <v>428</v>
      </c>
      <c r="B39" s="520"/>
      <c r="C39" s="520"/>
      <c r="D39" s="520"/>
      <c r="E39" s="268"/>
      <c r="F39" s="521"/>
      <c r="G39" s="521"/>
      <c r="H39" s="156"/>
    </row>
    <row r="40" spans="1:8" ht="15" thickBot="1" x14ac:dyDescent="0.35">
      <c r="A40" s="157"/>
      <c r="B40" s="158"/>
      <c r="C40" s="158"/>
      <c r="D40" s="158"/>
      <c r="E40" s="158"/>
      <c r="F40" s="269"/>
      <c r="G40" s="158"/>
      <c r="H40" s="270"/>
    </row>
    <row r="41" spans="1:8" ht="18" thickBot="1" x14ac:dyDescent="0.35">
      <c r="A41" s="508" t="s">
        <v>185</v>
      </c>
      <c r="B41" s="509"/>
      <c r="C41" s="509"/>
      <c r="D41" s="509"/>
      <c r="E41" s="509"/>
      <c r="F41" s="509"/>
      <c r="G41" s="509"/>
      <c r="H41" s="510"/>
    </row>
    <row r="42" spans="1:8" ht="29.4" thickBot="1" x14ac:dyDescent="0.35">
      <c r="A42" s="162" t="s">
        <v>231</v>
      </c>
      <c r="B42" s="163" t="s">
        <v>187</v>
      </c>
      <c r="C42" s="163" t="s">
        <v>188</v>
      </c>
      <c r="D42" s="163" t="s">
        <v>189</v>
      </c>
      <c r="E42" s="271" t="s">
        <v>190</v>
      </c>
      <c r="F42" s="272" t="s">
        <v>191</v>
      </c>
      <c r="G42" s="273" t="s">
        <v>192</v>
      </c>
      <c r="H42" s="166" t="s">
        <v>193</v>
      </c>
    </row>
    <row r="43" spans="1:8" ht="21" x14ac:dyDescent="0.3">
      <c r="A43" s="167" t="s">
        <v>194</v>
      </c>
      <c r="B43" s="168"/>
      <c r="C43" s="168"/>
      <c r="D43" s="168"/>
      <c r="E43" s="169"/>
      <c r="F43" s="274"/>
      <c r="G43" s="275"/>
      <c r="H43" s="276"/>
    </row>
    <row r="44" spans="1:8" ht="20.399999999999999" x14ac:dyDescent="0.3">
      <c r="A44" s="277" t="s">
        <v>256</v>
      </c>
      <c r="B44" s="278" t="s">
        <v>196</v>
      </c>
      <c r="C44" s="278" t="s">
        <v>257</v>
      </c>
      <c r="D44" s="278" t="s">
        <v>258</v>
      </c>
      <c r="E44" s="279" t="s">
        <v>326</v>
      </c>
      <c r="F44" s="280">
        <v>156</v>
      </c>
      <c r="G44" s="281" t="s">
        <v>348</v>
      </c>
      <c r="H44" s="282"/>
    </row>
    <row r="45" spans="1:8" ht="15" thickBot="1" x14ac:dyDescent="0.35">
      <c r="A45" s="283" t="s">
        <v>256</v>
      </c>
      <c r="B45" s="284" t="s">
        <v>200</v>
      </c>
      <c r="C45" s="285" t="s">
        <v>259</v>
      </c>
      <c r="D45" s="285" t="s">
        <v>260</v>
      </c>
      <c r="E45" s="286" t="s">
        <v>261</v>
      </c>
      <c r="F45" s="435">
        <v>9</v>
      </c>
      <c r="G45" s="436" t="s">
        <v>77</v>
      </c>
      <c r="H45" s="287"/>
    </row>
    <row r="46" spans="1:8" x14ac:dyDescent="0.3">
      <c r="A46" s="288" t="s">
        <v>205</v>
      </c>
      <c r="B46" s="195"/>
      <c r="C46" s="246"/>
      <c r="D46" s="246"/>
      <c r="E46" s="289"/>
      <c r="F46" s="290"/>
      <c r="G46" s="291"/>
      <c r="H46" s="292"/>
    </row>
    <row r="47" spans="1:8" ht="20.399999999999999" x14ac:dyDescent="0.3">
      <c r="A47" s="293" t="s">
        <v>256</v>
      </c>
      <c r="B47" s="278" t="s">
        <v>206</v>
      </c>
      <c r="C47" s="294" t="s">
        <v>262</v>
      </c>
      <c r="D47" s="294" t="s">
        <v>263</v>
      </c>
      <c r="E47" s="295" t="s">
        <v>330</v>
      </c>
      <c r="F47" s="437">
        <v>72</v>
      </c>
      <c r="G47" s="313" t="s">
        <v>219</v>
      </c>
      <c r="H47" s="174" t="s">
        <v>249</v>
      </c>
    </row>
    <row r="48" spans="1:8" x14ac:dyDescent="0.3">
      <c r="A48" s="296" t="s">
        <v>256</v>
      </c>
      <c r="B48" s="297" t="s">
        <v>206</v>
      </c>
      <c r="C48" s="298" t="s">
        <v>264</v>
      </c>
      <c r="D48" s="298" t="s">
        <v>265</v>
      </c>
      <c r="E48" s="299" t="s">
        <v>328</v>
      </c>
      <c r="F48" s="446">
        <v>0</v>
      </c>
      <c r="G48" s="313" t="s">
        <v>219</v>
      </c>
      <c r="H48" s="300"/>
    </row>
    <row r="49" spans="1:8" ht="15" thickBot="1" x14ac:dyDescent="0.35">
      <c r="A49" s="301" t="s">
        <v>256</v>
      </c>
      <c r="B49" s="284" t="s">
        <v>206</v>
      </c>
      <c r="C49" s="302" t="s">
        <v>266</v>
      </c>
      <c r="D49" s="302" t="s">
        <v>267</v>
      </c>
      <c r="E49" s="303" t="s">
        <v>268</v>
      </c>
      <c r="F49" s="435">
        <v>37</v>
      </c>
      <c r="G49" s="304" t="s">
        <v>219</v>
      </c>
      <c r="H49" s="305"/>
    </row>
    <row r="50" spans="1:8" x14ac:dyDescent="0.3">
      <c r="A50" s="306" t="s">
        <v>214</v>
      </c>
      <c r="B50" s="307"/>
      <c r="C50" s="308"/>
      <c r="D50" s="308"/>
      <c r="E50" s="309"/>
      <c r="F50" s="310"/>
      <c r="G50" s="311"/>
      <c r="H50" s="312"/>
    </row>
    <row r="51" spans="1:8" ht="20.399999999999999" x14ac:dyDescent="0.3">
      <c r="A51" s="293" t="s">
        <v>256</v>
      </c>
      <c r="B51" s="200" t="s">
        <v>215</v>
      </c>
      <c r="C51" s="220" t="s">
        <v>269</v>
      </c>
      <c r="D51" s="294" t="s">
        <v>270</v>
      </c>
      <c r="E51" s="222" t="s">
        <v>271</v>
      </c>
      <c r="F51" s="437">
        <v>58</v>
      </c>
      <c r="G51" s="313" t="s">
        <v>210</v>
      </c>
      <c r="H51" s="314"/>
    </row>
    <row r="52" spans="1:8" ht="15" thickBot="1" x14ac:dyDescent="0.35">
      <c r="A52" s="315" t="s">
        <v>256</v>
      </c>
      <c r="B52" s="316" t="s">
        <v>215</v>
      </c>
      <c r="C52" s="317" t="s">
        <v>272</v>
      </c>
      <c r="D52" s="318" t="s">
        <v>273</v>
      </c>
      <c r="E52" s="319" t="s">
        <v>274</v>
      </c>
      <c r="F52" s="320">
        <v>55</v>
      </c>
      <c r="G52" s="321" t="s">
        <v>210</v>
      </c>
      <c r="H52" s="300"/>
    </row>
    <row r="53" spans="1:8" x14ac:dyDescent="0.3">
      <c r="A53" s="194" t="s">
        <v>223</v>
      </c>
      <c r="B53" s="195"/>
      <c r="C53" s="195"/>
      <c r="D53" s="195"/>
      <c r="E53" s="322"/>
      <c r="F53" s="323"/>
      <c r="G53" s="324"/>
      <c r="H53" s="325"/>
    </row>
    <row r="54" spans="1:8" ht="15" thickBot="1" x14ac:dyDescent="0.35">
      <c r="A54" s="301" t="s">
        <v>256</v>
      </c>
      <c r="B54" s="326" t="s">
        <v>224</v>
      </c>
      <c r="C54" s="285" t="s">
        <v>275</v>
      </c>
      <c r="D54" s="285" t="s">
        <v>276</v>
      </c>
      <c r="E54" s="327" t="s">
        <v>277</v>
      </c>
      <c r="F54" s="438">
        <v>82</v>
      </c>
      <c r="G54" s="328" t="s">
        <v>228</v>
      </c>
      <c r="H54" s="329"/>
    </row>
    <row r="55" spans="1:8" ht="15" thickBot="1" x14ac:dyDescent="0.35">
      <c r="A55" s="255"/>
      <c r="B55" s="212"/>
      <c r="C55" s="213"/>
      <c r="D55" s="213"/>
      <c r="E55" s="214" t="s">
        <v>229</v>
      </c>
      <c r="F55" s="215">
        <f>F44+F45+F47+F48+F49+F51+F52+F54</f>
        <v>469</v>
      </c>
      <c r="G55" s="216"/>
      <c r="H55" s="259"/>
    </row>
    <row r="56" spans="1:8" ht="18" thickBot="1" x14ac:dyDescent="0.35">
      <c r="A56" s="508" t="s">
        <v>230</v>
      </c>
      <c r="B56" s="509"/>
      <c r="C56" s="509"/>
      <c r="D56" s="509"/>
      <c r="E56" s="509"/>
      <c r="F56" s="509"/>
      <c r="G56" s="509"/>
      <c r="H56" s="510"/>
    </row>
    <row r="57" spans="1:8" ht="29.4" thickBot="1" x14ac:dyDescent="0.35">
      <c r="A57" s="330" t="s">
        <v>231</v>
      </c>
      <c r="B57" s="331" t="s">
        <v>187</v>
      </c>
      <c r="C57" s="331" t="s">
        <v>188</v>
      </c>
      <c r="D57" s="331" t="s">
        <v>189</v>
      </c>
      <c r="E57" s="331" t="s">
        <v>190</v>
      </c>
      <c r="F57" s="332" t="s">
        <v>191</v>
      </c>
      <c r="G57" s="333" t="s">
        <v>192</v>
      </c>
      <c r="H57" s="166" t="s">
        <v>193</v>
      </c>
    </row>
    <row r="58" spans="1:8" ht="21" x14ac:dyDescent="0.3">
      <c r="A58" s="167" t="s">
        <v>194</v>
      </c>
      <c r="B58" s="324"/>
      <c r="C58" s="324"/>
      <c r="D58" s="324"/>
      <c r="E58" s="334"/>
      <c r="F58" s="218"/>
      <c r="G58" s="171"/>
      <c r="H58" s="171"/>
    </row>
    <row r="59" spans="1:8" x14ac:dyDescent="0.3">
      <c r="A59" s="186" t="s">
        <v>256</v>
      </c>
      <c r="B59" s="188" t="s">
        <v>278</v>
      </c>
      <c r="C59" s="226" t="s">
        <v>279</v>
      </c>
      <c r="D59" s="226" t="s">
        <v>280</v>
      </c>
      <c r="E59" s="201" t="s">
        <v>326</v>
      </c>
      <c r="F59" s="445">
        <v>0</v>
      </c>
      <c r="G59" s="335" t="s">
        <v>204</v>
      </c>
      <c r="H59" s="174"/>
    </row>
    <row r="60" spans="1:8" ht="20.399999999999999" x14ac:dyDescent="0.3">
      <c r="A60" s="293" t="s">
        <v>256</v>
      </c>
      <c r="B60" s="188" t="s">
        <v>232</v>
      </c>
      <c r="C60" s="226" t="s">
        <v>281</v>
      </c>
      <c r="D60" s="226" t="s">
        <v>282</v>
      </c>
      <c r="E60" s="372" t="s">
        <v>331</v>
      </c>
      <c r="F60" s="336">
        <v>31</v>
      </c>
      <c r="G60" s="450" t="s">
        <v>347</v>
      </c>
      <c r="H60" s="174"/>
    </row>
    <row r="61" spans="1:8" ht="31.2" thickBot="1" x14ac:dyDescent="0.35">
      <c r="A61" s="208" t="s">
        <v>256</v>
      </c>
      <c r="B61" s="203" t="s">
        <v>236</v>
      </c>
      <c r="C61" s="203" t="s">
        <v>283</v>
      </c>
      <c r="D61" s="203" t="s">
        <v>284</v>
      </c>
      <c r="E61" s="371" t="s">
        <v>332</v>
      </c>
      <c r="F61" s="337">
        <v>24</v>
      </c>
      <c r="G61" s="338" t="s">
        <v>204</v>
      </c>
      <c r="H61" s="250" t="s">
        <v>249</v>
      </c>
    </row>
    <row r="62" spans="1:8" s="159" customFormat="1" x14ac:dyDescent="0.25">
      <c r="A62" s="306" t="s">
        <v>205</v>
      </c>
      <c r="B62" s="181"/>
      <c r="C62" s="181"/>
      <c r="D62" s="181"/>
      <c r="E62" s="339"/>
      <c r="F62" s="340"/>
      <c r="G62" s="184"/>
      <c r="H62" s="341"/>
    </row>
    <row r="63" spans="1:8" x14ac:dyDescent="0.3">
      <c r="A63" s="186" t="s">
        <v>256</v>
      </c>
      <c r="B63" s="278" t="s">
        <v>239</v>
      </c>
      <c r="C63" s="220" t="s">
        <v>285</v>
      </c>
      <c r="D63" s="278" t="s">
        <v>286</v>
      </c>
      <c r="E63" s="222" t="s">
        <v>183</v>
      </c>
      <c r="F63" s="336">
        <v>15</v>
      </c>
      <c r="G63" s="174" t="s">
        <v>338</v>
      </c>
      <c r="H63" s="342"/>
    </row>
    <row r="64" spans="1:8" ht="15" thickBot="1" x14ac:dyDescent="0.35">
      <c r="A64" s="208" t="s">
        <v>256</v>
      </c>
      <c r="B64" s="426"/>
      <c r="C64" s="427"/>
      <c r="D64" s="426"/>
      <c r="E64" s="429"/>
      <c r="F64" s="428"/>
      <c r="G64" s="425"/>
      <c r="H64" s="343"/>
    </row>
    <row r="65" spans="1:9" x14ac:dyDescent="0.3">
      <c r="A65" s="288" t="s">
        <v>214</v>
      </c>
      <c r="B65" s="344"/>
      <c r="C65" s="195"/>
      <c r="D65" s="195"/>
      <c r="E65" s="236"/>
      <c r="F65" s="345"/>
      <c r="G65" s="346"/>
      <c r="H65" s="171"/>
    </row>
    <row r="66" spans="1:9" x14ac:dyDescent="0.3">
      <c r="A66" s="186" t="s">
        <v>256</v>
      </c>
      <c r="B66" s="187" t="s">
        <v>242</v>
      </c>
      <c r="C66" s="193" t="s">
        <v>287</v>
      </c>
      <c r="D66" s="193" t="s">
        <v>288</v>
      </c>
      <c r="E66" s="535" t="s">
        <v>289</v>
      </c>
      <c r="F66" s="536">
        <v>29</v>
      </c>
      <c r="G66" s="537" t="s">
        <v>210</v>
      </c>
      <c r="H66" s="538" t="s">
        <v>249</v>
      </c>
    </row>
    <row r="67" spans="1:9" ht="15" thickBot="1" x14ac:dyDescent="0.35">
      <c r="A67" s="539" t="s">
        <v>256</v>
      </c>
      <c r="B67" s="540"/>
      <c r="C67" s="541"/>
      <c r="D67" s="541"/>
      <c r="E67" s="542"/>
      <c r="F67" s="543"/>
      <c r="G67" s="544"/>
      <c r="H67" s="544"/>
    </row>
    <row r="68" spans="1:9" x14ac:dyDescent="0.3">
      <c r="A68" s="288" t="s">
        <v>223</v>
      </c>
      <c r="B68" s="195"/>
      <c r="C68" s="195"/>
      <c r="D68" s="195"/>
      <c r="E68" s="236"/>
      <c r="F68" s="352"/>
      <c r="G68" s="238"/>
      <c r="H68" s="353"/>
    </row>
    <row r="69" spans="1:9" x14ac:dyDescent="0.3">
      <c r="A69" s="293" t="s">
        <v>256</v>
      </c>
      <c r="B69" s="294" t="s">
        <v>250</v>
      </c>
      <c r="C69" s="354" t="s">
        <v>290</v>
      </c>
      <c r="D69" s="220" t="s">
        <v>291</v>
      </c>
      <c r="E69" s="222" t="s">
        <v>333</v>
      </c>
      <c r="F69" s="355" t="s">
        <v>336</v>
      </c>
      <c r="G69" s="356" t="s">
        <v>228</v>
      </c>
      <c r="H69" s="174"/>
    </row>
    <row r="70" spans="1:9" ht="15" thickBot="1" x14ac:dyDescent="0.35">
      <c r="A70" s="301" t="s">
        <v>256</v>
      </c>
      <c r="B70" s="527" t="s">
        <v>250</v>
      </c>
      <c r="C70" s="527" t="s">
        <v>254</v>
      </c>
      <c r="D70" s="527" t="s">
        <v>255</v>
      </c>
      <c r="E70" s="528" t="s">
        <v>438</v>
      </c>
      <c r="F70" s="529">
        <v>40</v>
      </c>
      <c r="G70" s="530" t="s">
        <v>442</v>
      </c>
      <c r="H70" s="358"/>
    </row>
    <row r="71" spans="1:9" ht="15" thickBot="1" x14ac:dyDescent="0.35">
      <c r="A71" s="255"/>
      <c r="B71" s="212"/>
      <c r="C71" s="213"/>
      <c r="D71" s="213"/>
      <c r="E71" s="256" t="s">
        <v>229</v>
      </c>
      <c r="F71" s="359">
        <f>SUM(F59:F61,F63:F64,F67,F69:F70)</f>
        <v>110</v>
      </c>
      <c r="G71" s="216"/>
      <c r="H71" s="259"/>
    </row>
    <row r="72" spans="1:9" ht="15" thickBot="1" x14ac:dyDescent="0.35">
      <c r="A72" s="260"/>
      <c r="B72" s="261"/>
      <c r="C72" s="261"/>
      <c r="D72" s="261"/>
      <c r="E72" s="261"/>
      <c r="F72" s="262"/>
      <c r="G72" s="261"/>
      <c r="H72" s="263"/>
    </row>
    <row r="73" spans="1:9" ht="15" thickBot="1" x14ac:dyDescent="0.35">
      <c r="A73" s="360"/>
      <c r="B73" s="361"/>
      <c r="C73" s="362"/>
      <c r="D73" s="362"/>
      <c r="E73" s="362"/>
      <c r="F73" s="363"/>
      <c r="G73" s="364"/>
      <c r="H73" s="365"/>
    </row>
    <row r="74" spans="1:9" ht="26.55" customHeight="1" thickBot="1" x14ac:dyDescent="0.35">
      <c r="A74" s="514" t="s">
        <v>429</v>
      </c>
      <c r="B74" s="515"/>
      <c r="C74" s="515"/>
      <c r="D74" s="516"/>
      <c r="E74" s="268"/>
      <c r="F74" s="517"/>
      <c r="G74" s="518"/>
      <c r="H74" s="366"/>
      <c r="I74" s="367"/>
    </row>
    <row r="75" spans="1:9" ht="21.6" thickBot="1" x14ac:dyDescent="0.45">
      <c r="A75" s="368"/>
      <c r="H75" s="369"/>
      <c r="I75" s="151"/>
    </row>
    <row r="76" spans="1:9" ht="18" thickBot="1" x14ac:dyDescent="0.35">
      <c r="A76" s="508" t="s">
        <v>185</v>
      </c>
      <c r="B76" s="509"/>
      <c r="C76" s="509"/>
      <c r="D76" s="509"/>
      <c r="E76" s="509"/>
      <c r="F76" s="509"/>
      <c r="G76" s="509"/>
      <c r="H76" s="510"/>
    </row>
    <row r="77" spans="1:9" ht="29.4" thickBot="1" x14ac:dyDescent="0.35">
      <c r="A77" s="162" t="s">
        <v>231</v>
      </c>
      <c r="B77" s="163" t="s">
        <v>187</v>
      </c>
      <c r="C77" s="163" t="s">
        <v>188</v>
      </c>
      <c r="D77" s="163" t="s">
        <v>189</v>
      </c>
      <c r="E77" s="163" t="s">
        <v>190</v>
      </c>
      <c r="F77" s="164" t="s">
        <v>191</v>
      </c>
      <c r="G77" s="165" t="s">
        <v>192</v>
      </c>
      <c r="H77" s="166" t="s">
        <v>193</v>
      </c>
    </row>
    <row r="78" spans="1:9" ht="21" x14ac:dyDescent="0.3">
      <c r="A78" s="167" t="s">
        <v>194</v>
      </c>
      <c r="B78" s="168"/>
      <c r="C78" s="168"/>
      <c r="D78" s="168"/>
      <c r="E78" s="169"/>
      <c r="F78" s="170"/>
      <c r="G78" s="171"/>
      <c r="H78" s="370"/>
    </row>
    <row r="79" spans="1:9" ht="20.399999999999999" x14ac:dyDescent="0.3">
      <c r="A79" s="186" t="s">
        <v>292</v>
      </c>
      <c r="B79" s="187" t="s">
        <v>196</v>
      </c>
      <c r="C79" s="187" t="s">
        <v>293</v>
      </c>
      <c r="D79" s="188" t="s">
        <v>294</v>
      </c>
      <c r="E79" s="371" t="s">
        <v>334</v>
      </c>
      <c r="F79" s="190">
        <v>166</v>
      </c>
      <c r="G79" s="335" t="s">
        <v>219</v>
      </c>
      <c r="H79" s="313"/>
    </row>
    <row r="80" spans="1:9" x14ac:dyDescent="0.3">
      <c r="A80" s="186" t="s">
        <v>292</v>
      </c>
      <c r="B80" s="193" t="s">
        <v>200</v>
      </c>
      <c r="C80" s="226" t="s">
        <v>295</v>
      </c>
      <c r="D80" s="200" t="s">
        <v>296</v>
      </c>
      <c r="E80" s="372" t="s">
        <v>297</v>
      </c>
      <c r="F80" s="190">
        <v>7</v>
      </c>
      <c r="G80" s="335" t="s">
        <v>219</v>
      </c>
      <c r="H80" s="313" t="s">
        <v>249</v>
      </c>
    </row>
    <row r="81" spans="1:8" ht="30.6" x14ac:dyDescent="0.3">
      <c r="A81" s="277" t="s">
        <v>292</v>
      </c>
      <c r="B81" s="187" t="s">
        <v>196</v>
      </c>
      <c r="C81" s="187" t="s">
        <v>298</v>
      </c>
      <c r="D81" s="188" t="s">
        <v>299</v>
      </c>
      <c r="E81" s="371" t="s">
        <v>335</v>
      </c>
      <c r="F81" s="190">
        <v>96</v>
      </c>
      <c r="G81" s="174" t="s">
        <v>339</v>
      </c>
      <c r="H81" s="373"/>
    </row>
    <row r="82" spans="1:8" ht="13.8" customHeight="1" thickBot="1" x14ac:dyDescent="0.35">
      <c r="A82" s="208" t="s">
        <v>292</v>
      </c>
      <c r="B82" s="284" t="s">
        <v>200</v>
      </c>
      <c r="C82" s="302" t="s">
        <v>300</v>
      </c>
      <c r="D82" s="302" t="s">
        <v>301</v>
      </c>
      <c r="E82" s="244" t="s">
        <v>297</v>
      </c>
      <c r="F82" s="374">
        <v>9</v>
      </c>
      <c r="G82" s="250" t="s">
        <v>219</v>
      </c>
      <c r="H82" s="375" t="s">
        <v>249</v>
      </c>
    </row>
    <row r="83" spans="1:8" x14ac:dyDescent="0.3">
      <c r="A83" s="288" t="s">
        <v>205</v>
      </c>
      <c r="B83" s="195"/>
      <c r="C83" s="376"/>
      <c r="D83" s="195"/>
      <c r="E83" s="196"/>
      <c r="F83" s="197"/>
      <c r="G83" s="377"/>
      <c r="H83" s="377"/>
    </row>
    <row r="84" spans="1:8" x14ac:dyDescent="0.3">
      <c r="A84" s="186" t="s">
        <v>292</v>
      </c>
      <c r="B84" s="278" t="s">
        <v>206</v>
      </c>
      <c r="C84" s="440" t="s">
        <v>302</v>
      </c>
      <c r="D84" s="221" t="s">
        <v>303</v>
      </c>
      <c r="E84" s="378" t="s">
        <v>304</v>
      </c>
      <c r="F84" s="190">
        <v>69</v>
      </c>
      <c r="G84" s="356" t="s">
        <v>210</v>
      </c>
      <c r="H84" s="174"/>
    </row>
    <row r="85" spans="1:8" ht="15" thickBot="1" x14ac:dyDescent="0.35">
      <c r="A85" s="208" t="s">
        <v>292</v>
      </c>
      <c r="B85" s="284" t="s">
        <v>206</v>
      </c>
      <c r="C85" s="326" t="s">
        <v>305</v>
      </c>
      <c r="D85" s="284" t="s">
        <v>306</v>
      </c>
      <c r="E85" s="379" t="s">
        <v>328</v>
      </c>
      <c r="F85" s="443">
        <v>0</v>
      </c>
      <c r="G85" s="380" t="s">
        <v>210</v>
      </c>
      <c r="H85" s="381"/>
    </row>
    <row r="86" spans="1:8" x14ac:dyDescent="0.3">
      <c r="A86" s="288" t="s">
        <v>214</v>
      </c>
      <c r="B86" s="195"/>
      <c r="C86" s="376"/>
      <c r="D86" s="195"/>
      <c r="E86" s="196"/>
      <c r="F86" s="197"/>
      <c r="G86" s="377"/>
      <c r="H86" s="377"/>
    </row>
    <row r="87" spans="1:8" ht="15" thickBot="1" x14ac:dyDescent="0.35">
      <c r="A87" s="301"/>
      <c r="B87" s="202"/>
      <c r="C87" s="177"/>
      <c r="D87" s="177"/>
      <c r="E87" s="382"/>
      <c r="F87" s="383"/>
      <c r="G87" s="384"/>
      <c r="H87" s="385"/>
    </row>
    <row r="88" spans="1:8" x14ac:dyDescent="0.3">
      <c r="A88" s="386" t="s">
        <v>223</v>
      </c>
      <c r="B88" s="387"/>
      <c r="C88" s="376"/>
      <c r="D88" s="195"/>
      <c r="E88" s="388"/>
      <c r="F88" s="389"/>
      <c r="G88" s="206"/>
      <c r="H88" s="390"/>
    </row>
    <row r="89" spans="1:8" x14ac:dyDescent="0.3">
      <c r="A89" s="293" t="s">
        <v>292</v>
      </c>
      <c r="B89" s="193" t="s">
        <v>224</v>
      </c>
      <c r="C89" s="193" t="s">
        <v>307</v>
      </c>
      <c r="D89" s="193" t="s">
        <v>308</v>
      </c>
      <c r="E89" s="371" t="s">
        <v>309</v>
      </c>
      <c r="F89" s="190">
        <v>74</v>
      </c>
      <c r="G89" s="174" t="s">
        <v>228</v>
      </c>
      <c r="H89" s="192"/>
    </row>
    <row r="90" spans="1:8" ht="21" thickBot="1" x14ac:dyDescent="0.35">
      <c r="A90" s="301" t="s">
        <v>292</v>
      </c>
      <c r="B90" s="391" t="s">
        <v>224</v>
      </c>
      <c r="C90" s="392" t="s">
        <v>337</v>
      </c>
      <c r="D90" s="392" t="s">
        <v>310</v>
      </c>
      <c r="E90" s="371" t="s">
        <v>311</v>
      </c>
      <c r="F90" s="393">
        <v>53</v>
      </c>
      <c r="G90" s="250" t="s">
        <v>204</v>
      </c>
      <c r="H90" s="394" t="s">
        <v>249</v>
      </c>
    </row>
    <row r="91" spans="1:8" ht="15" thickBot="1" x14ac:dyDescent="0.35">
      <c r="A91" s="255"/>
      <c r="B91" s="212"/>
      <c r="C91" s="213"/>
      <c r="D91" s="213"/>
      <c r="E91" s="214" t="s">
        <v>229</v>
      </c>
      <c r="F91" s="215">
        <f>SUM(F79:F82,F84:F85,F89:F90)</f>
        <v>474</v>
      </c>
      <c r="G91" s="216"/>
      <c r="H91" s="259"/>
    </row>
    <row r="92" spans="1:8" ht="18" thickBot="1" x14ac:dyDescent="0.35">
      <c r="A92" s="508" t="s">
        <v>230</v>
      </c>
      <c r="B92" s="509"/>
      <c r="C92" s="509"/>
      <c r="D92" s="509"/>
      <c r="E92" s="509"/>
      <c r="F92" s="509"/>
      <c r="G92" s="509"/>
      <c r="H92" s="510"/>
    </row>
    <row r="93" spans="1:8" ht="29.4" thickBot="1" x14ac:dyDescent="0.35">
      <c r="A93" s="162" t="s">
        <v>231</v>
      </c>
      <c r="B93" s="163" t="s">
        <v>187</v>
      </c>
      <c r="C93" s="163" t="s">
        <v>188</v>
      </c>
      <c r="D93" s="163" t="s">
        <v>189</v>
      </c>
      <c r="E93" s="163" t="s">
        <v>190</v>
      </c>
      <c r="F93" s="164" t="s">
        <v>191</v>
      </c>
      <c r="G93" s="165" t="s">
        <v>192</v>
      </c>
      <c r="H93" s="166" t="s">
        <v>193</v>
      </c>
    </row>
    <row r="94" spans="1:8" x14ac:dyDescent="0.3">
      <c r="A94" s="167" t="s">
        <v>194</v>
      </c>
      <c r="B94" s="395"/>
      <c r="C94" s="395"/>
      <c r="D94" s="395"/>
      <c r="E94" s="396"/>
      <c r="F94" s="397"/>
      <c r="G94" s="370"/>
      <c r="H94" s="171"/>
    </row>
    <row r="95" spans="1:8" x14ac:dyDescent="0.3">
      <c r="A95" s="186" t="s">
        <v>292</v>
      </c>
      <c r="B95" s="294" t="s">
        <v>312</v>
      </c>
      <c r="C95" s="221" t="s">
        <v>313</v>
      </c>
      <c r="D95" s="221" t="s">
        <v>314</v>
      </c>
      <c r="E95" s="398" t="s">
        <v>315</v>
      </c>
      <c r="F95" s="399">
        <v>27</v>
      </c>
      <c r="G95" s="400" t="s">
        <v>204</v>
      </c>
      <c r="H95" s="401"/>
    </row>
    <row r="96" spans="1:8" ht="15" thickBot="1" x14ac:dyDescent="0.35">
      <c r="A96" s="208" t="s">
        <v>292</v>
      </c>
      <c r="B96" s="284" t="s">
        <v>278</v>
      </c>
      <c r="C96" s="328" t="s">
        <v>316</v>
      </c>
      <c r="D96" s="328" t="s">
        <v>317</v>
      </c>
      <c r="E96" s="402" t="s">
        <v>261</v>
      </c>
      <c r="F96" s="249">
        <v>1</v>
      </c>
      <c r="G96" s="403" t="s">
        <v>204</v>
      </c>
      <c r="H96" s="404"/>
    </row>
    <row r="97" spans="1:8" ht="20.399999999999999" x14ac:dyDescent="0.3">
      <c r="A97" s="180" t="s">
        <v>205</v>
      </c>
      <c r="B97" s="405"/>
      <c r="C97" s="405"/>
      <c r="D97" s="405"/>
      <c r="E97" s="406"/>
      <c r="F97" s="407"/>
      <c r="G97" s="408"/>
      <c r="H97" s="409"/>
    </row>
    <row r="98" spans="1:8" ht="15" customHeight="1" x14ac:dyDescent="0.3">
      <c r="A98" s="410" t="s">
        <v>292</v>
      </c>
      <c r="B98" s="278" t="s">
        <v>239</v>
      </c>
      <c r="C98" s="220" t="s">
        <v>240</v>
      </c>
      <c r="D98" s="278" t="s">
        <v>241</v>
      </c>
      <c r="E98" s="372" t="s">
        <v>328</v>
      </c>
      <c r="F98" s="411">
        <v>17</v>
      </c>
      <c r="G98" s="412" t="s">
        <v>210</v>
      </c>
      <c r="H98" s="413" t="s">
        <v>249</v>
      </c>
    </row>
    <row r="99" spans="1:8" ht="15" thickBot="1" x14ac:dyDescent="0.35">
      <c r="A99" s="208" t="s">
        <v>292</v>
      </c>
      <c r="B99" s="423"/>
      <c r="C99" s="423"/>
      <c r="D99" s="423"/>
      <c r="E99" s="431"/>
      <c r="F99" s="424"/>
      <c r="G99" s="430"/>
      <c r="H99" s="174"/>
    </row>
    <row r="100" spans="1:8" x14ac:dyDescent="0.3">
      <c r="A100" s="194" t="s">
        <v>214</v>
      </c>
      <c r="B100" s="195"/>
      <c r="C100" s="195"/>
      <c r="D100" s="195"/>
      <c r="E100" s="236"/>
      <c r="F100" s="414"/>
      <c r="G100" s="377"/>
      <c r="H100" s="171"/>
    </row>
    <row r="101" spans="1:8" ht="15" thickBot="1" x14ac:dyDescent="0.35">
      <c r="A101" s="415"/>
      <c r="B101" s="202"/>
      <c r="C101" s="177"/>
      <c r="D101" s="177"/>
      <c r="E101" s="416"/>
      <c r="F101" s="417"/>
      <c r="G101" s="384"/>
      <c r="H101" s="418"/>
    </row>
    <row r="102" spans="1:8" x14ac:dyDescent="0.3">
      <c r="A102" s="194" t="s">
        <v>223</v>
      </c>
      <c r="B102" s="195"/>
      <c r="C102" s="195"/>
      <c r="D102" s="195"/>
      <c r="E102" s="419"/>
      <c r="F102" s="247"/>
      <c r="G102" s="206"/>
      <c r="H102" s="353"/>
    </row>
    <row r="103" spans="1:8" ht="15" thickBot="1" x14ac:dyDescent="0.35">
      <c r="A103" s="415" t="s">
        <v>292</v>
      </c>
      <c r="B103" s="203" t="s">
        <v>250</v>
      </c>
      <c r="C103" s="243" t="s">
        <v>323</v>
      </c>
      <c r="D103" s="203" t="s">
        <v>324</v>
      </c>
      <c r="E103" s="420" t="s">
        <v>329</v>
      </c>
      <c r="F103" s="421">
        <v>36</v>
      </c>
      <c r="G103" s="210" t="s">
        <v>204</v>
      </c>
      <c r="H103" s="385"/>
    </row>
    <row r="104" spans="1:8" ht="15" thickBot="1" x14ac:dyDescent="0.35">
      <c r="A104" s="255"/>
      <c r="B104" s="212"/>
      <c r="C104" s="213"/>
      <c r="D104" s="213"/>
      <c r="E104" s="256" t="s">
        <v>229</v>
      </c>
      <c r="F104" s="422">
        <f>(F95+F96+F98+F99+F103)</f>
        <v>81</v>
      </c>
      <c r="G104" s="216"/>
      <c r="H104" s="259"/>
    </row>
    <row r="105" spans="1:8" ht="15" thickBot="1" x14ac:dyDescent="0.35">
      <c r="A105" s="260"/>
      <c r="B105" s="261"/>
      <c r="C105" s="261"/>
      <c r="D105" s="261"/>
      <c r="E105" s="261"/>
      <c r="F105" s="262"/>
      <c r="G105" s="261"/>
      <c r="H105" s="263"/>
    </row>
  </sheetData>
  <mergeCells count="13">
    <mergeCell ref="A92:H92"/>
    <mergeCell ref="A3:H3"/>
    <mergeCell ref="A5:D5"/>
    <mergeCell ref="F5:G5"/>
    <mergeCell ref="A7:H7"/>
    <mergeCell ref="A21:H21"/>
    <mergeCell ref="A39:D39"/>
    <mergeCell ref="F39:G39"/>
    <mergeCell ref="A41:H41"/>
    <mergeCell ref="A56:H56"/>
    <mergeCell ref="A74:D74"/>
    <mergeCell ref="F74:G74"/>
    <mergeCell ref="A76:H7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Sem Test 2 S2 2025 (Diplomas)</vt:lpstr>
      <vt:lpstr>Sick Tests S2 2025 (Diplomas)</vt:lpstr>
      <vt:lpstr>Sem Test 2 S2 2025 Sat Classes </vt:lpstr>
      <vt:lpstr>Sick Tests S2 2025 Sat Classes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Vianney Witesyauwirwa Kambale</dc:creator>
  <cp:lastModifiedBy>Vianney Witesyauwirwa Kambale</cp:lastModifiedBy>
  <dcterms:created xsi:type="dcterms:W3CDTF">2025-08-05T16:46:42Z</dcterms:created>
  <dcterms:modified xsi:type="dcterms:W3CDTF">2025-09-19T16:47:07Z</dcterms:modified>
</cp:coreProperties>
</file>